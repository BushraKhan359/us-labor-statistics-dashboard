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publishItems="1"/>
  <mc:AlternateContent xmlns:mc="http://schemas.openxmlformats.org/markup-compatibility/2006">
    <mc:Choice Requires="x15">
      <x15ac:absPath xmlns:x15ac="http://schemas.microsoft.com/office/spreadsheetml/2010/11/ac" url="C:\Users\Bushr\Documents\datasets\Excel Course datasets\Excel+Dashboard+Datasets\"/>
    </mc:Choice>
  </mc:AlternateContent>
  <xr:revisionPtr revIDLastSave="0" documentId="13_ncr:1_{98896E33-C0BA-4FF5-B057-0AD01DA1319F}" xr6:coauthVersionLast="47" xr6:coauthVersionMax="47" xr10:uidLastSave="{00000000-0000-0000-0000-000000000000}"/>
  <workbookProtection lockStructure="1"/>
  <bookViews>
    <workbookView xWindow="-110" yWindow="-110" windowWidth="19420" windowHeight="10300" firstSheet="2" activeTab="2" xr2:uid="{DB438AB8-0F60-4224-9C67-97043B861F24}"/>
  </bookViews>
  <sheets>
    <sheet name="Data" sheetId="1" state="hidden" r:id="rId1"/>
    <sheet name="Data Prep" sheetId="2" state="hidden" r:id="rId2"/>
    <sheet name="Dashboard" sheetId="3" r:id="rId3"/>
  </sheets>
  <definedNames>
    <definedName name="_xlnm._FilterDatabase" localSheetId="0" hidden="1">Data!$B$1:$B$1919</definedName>
    <definedName name="_xlnm._FilterDatabase" localSheetId="1" hidden="1">'Data Prep'!$A$2:$A$12</definedName>
    <definedName name="_xlchart.v5.0" hidden="1">'Data Prep'!$O$2</definedName>
    <definedName name="_xlchart.v5.1" hidden="1">'Data Prep'!$O$3:$O$50</definedName>
    <definedName name="_xlchart.v5.2" hidden="1">'Data Prep'!$T$2</definedName>
    <definedName name="_xlchart.v5.3" hidden="1">'Data Prep'!$T$3:$T$50</definedName>
    <definedName name="_xlchart.v5.4" hidden="1">'Data Prep'!$O$2</definedName>
    <definedName name="_xlchart.v5.5" hidden="1">'Data Prep'!$O$3:$O$50</definedName>
    <definedName name="_xlchart.v5.6" hidden="1">'Data Prep'!$T$2</definedName>
    <definedName name="_xlchart.v5.7" hidden="1">'Data Prep'!$T$3:$T$50</definedName>
    <definedName name="Z_948164EF_B902_4A6C_8E3C_A935061C5153_.wvu.FilterData" localSheetId="0" hidden="1">Data!$A$1:$F$1919</definedName>
    <definedName name="Z_A1F01C08_243B_48FC_94A8_F102AEB1706D_.wvu.FilterData" localSheetId="0" hidden="1">Data!$A$1:$F$1919</definedName>
  </definedNames>
  <calcPr calcId="191029"/>
  <customWorkbookViews>
    <customWorkbookView name="Dashboard" guid="{948164EF-B902-4A6C-8E3C-A935061C5153}" maximized="1" xWindow="-8" yWindow="-8" windowWidth="1936" windowHeight="1056" activeSheetId="8" showFormulaBar="0"/>
    <customWorkbookView name="ShowAllWorksheets" guid="{A1F01C08-243B-48FC-94A8-F102AEB1706D}" maximized="1" xWindow="-8" yWindow="-8" windowWidth="1936" windowHeight="1056" activeSheetId="8" showFormulaBar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2" l="1"/>
  <c r="T2" i="2" s="1"/>
  <c r="B6" i="3" a="1"/>
  <c r="B6" i="3" s="1"/>
  <c r="B3" i="2" s="1"/>
  <c r="I8" i="2"/>
  <c r="I5" i="2"/>
  <c r="I7" i="2"/>
  <c r="I9" i="2"/>
  <c r="I12" i="2"/>
  <c r="I4" i="2"/>
  <c r="I3" i="2"/>
  <c r="I10" i="2"/>
  <c r="I6" i="2"/>
  <c r="I11" i="2"/>
  <c r="E7" i="2"/>
  <c r="E9" i="2"/>
  <c r="E4" i="2"/>
  <c r="E3" i="2"/>
  <c r="E12" i="2"/>
  <c r="E6" i="2"/>
  <c r="E8" i="2"/>
  <c r="E11" i="2"/>
  <c r="E10" i="2"/>
  <c r="E5" i="2"/>
  <c r="F5" i="2" l="1"/>
  <c r="F10" i="2"/>
  <c r="F4" i="2"/>
  <c r="F6" i="2"/>
  <c r="F8" i="2"/>
  <c r="F9" i="2"/>
  <c r="F11" i="2"/>
  <c r="F12" i="2"/>
  <c r="F7" i="2"/>
  <c r="I17" i="2"/>
  <c r="P24" i="2" l="1"/>
  <c r="R24" i="2" s="1"/>
  <c r="P42" i="2"/>
  <c r="R42" i="2" s="1"/>
  <c r="P30" i="2"/>
  <c r="R30" i="2" s="1"/>
  <c r="P35" i="2"/>
  <c r="R35" i="2" s="1"/>
  <c r="P43" i="2"/>
  <c r="R43" i="2" s="1"/>
  <c r="P47" i="2"/>
  <c r="R47" i="2" s="1"/>
  <c r="T47" i="2" s="1"/>
  <c r="S9" i="2"/>
  <c r="S5" i="2"/>
  <c r="S14" i="2"/>
  <c r="P18" i="2"/>
  <c r="R18" i="2" s="1"/>
  <c r="T18" i="2" s="1"/>
  <c r="S22" i="2"/>
  <c r="S6" i="2"/>
  <c r="S45" i="2"/>
  <c r="I16" i="2"/>
  <c r="I20" i="2" s="1"/>
  <c r="S25" i="2"/>
  <c r="S40" i="2"/>
  <c r="P38" i="2"/>
  <c r="R38" i="2" s="1"/>
  <c r="S31" i="2"/>
  <c r="S8" i="2"/>
  <c r="S44" i="2"/>
  <c r="S23" i="2"/>
  <c r="S35" i="2"/>
  <c r="T35" i="2" s="1"/>
  <c r="P6" i="2"/>
  <c r="R6" i="2" s="1"/>
  <c r="P19" i="2"/>
  <c r="R19" i="2" s="1"/>
  <c r="P22" i="2"/>
  <c r="R22" i="2" s="1"/>
  <c r="P8" i="2"/>
  <c r="R8" i="2" s="1"/>
  <c r="P27" i="2"/>
  <c r="R27" i="2" s="1"/>
  <c r="S3" i="2"/>
  <c r="P16" i="2"/>
  <c r="R16" i="2" s="1"/>
  <c r="S41" i="2"/>
  <c r="P7" i="2"/>
  <c r="R7" i="2" s="1"/>
  <c r="P9" i="2"/>
  <c r="R9" i="2" s="1"/>
  <c r="T9" i="2" s="1"/>
  <c r="P49" i="2"/>
  <c r="R49" i="2" s="1"/>
  <c r="T49" i="2" s="1"/>
  <c r="M4" i="2"/>
  <c r="L4" i="2"/>
  <c r="S13" i="2"/>
  <c r="P12" i="2"/>
  <c r="R12" i="2" s="1"/>
  <c r="T12" i="2" s="1"/>
  <c r="L5" i="2"/>
  <c r="S12" i="2"/>
  <c r="S34" i="2"/>
  <c r="P34" i="2"/>
  <c r="R34" i="2" s="1"/>
  <c r="T34" i="2" s="1"/>
  <c r="S43" i="2"/>
  <c r="S30" i="2"/>
  <c r="T30" i="2" s="1"/>
  <c r="P46" i="2"/>
  <c r="R46" i="2" s="1"/>
  <c r="S16" i="2"/>
  <c r="P32" i="2"/>
  <c r="R32" i="2" s="1"/>
  <c r="S33" i="2"/>
  <c r="P28" i="2"/>
  <c r="R28" i="2" s="1"/>
  <c r="P29" i="2"/>
  <c r="R29" i="2" s="1"/>
  <c r="S29" i="2"/>
  <c r="S18" i="2"/>
  <c r="S42" i="2"/>
  <c r="S49" i="2"/>
  <c r="M3" i="2"/>
  <c r="P17" i="2"/>
  <c r="R17" i="2" s="1"/>
  <c r="M6" i="2"/>
  <c r="P40" i="2"/>
  <c r="R40" i="2" s="1"/>
  <c r="P39" i="2"/>
  <c r="R39" i="2" s="1"/>
  <c r="P41" i="2"/>
  <c r="R41" i="2" s="1"/>
  <c r="T41" i="2" s="1"/>
  <c r="S50" i="2"/>
  <c r="P4" i="2"/>
  <c r="R4" i="2" s="1"/>
  <c r="P11" i="2"/>
  <c r="R11" i="2" s="1"/>
  <c r="S36" i="2"/>
  <c r="P37" i="2"/>
  <c r="R37" i="2" s="1"/>
  <c r="F3" i="2"/>
  <c r="S20" i="2"/>
  <c r="S38" i="2"/>
  <c r="S24" i="2"/>
  <c r="S21" i="2"/>
  <c r="S47" i="2"/>
  <c r="S46" i="2"/>
  <c r="S15" i="2"/>
  <c r="S32" i="2"/>
  <c r="P48" i="2"/>
  <c r="R48" i="2" s="1"/>
  <c r="T48" i="2" s="1"/>
  <c r="S37" i="2"/>
  <c r="P50" i="2"/>
  <c r="R50" i="2" s="1"/>
  <c r="T50" i="2" s="1"/>
  <c r="P3" i="2"/>
  <c r="R3" i="2" s="1"/>
  <c r="P10" i="2"/>
  <c r="R10" i="2" s="1"/>
  <c r="P23" i="2"/>
  <c r="R23" i="2" s="1"/>
  <c r="T23" i="2" s="1"/>
  <c r="P15" i="2"/>
  <c r="R15" i="2" s="1"/>
  <c r="P21" i="2"/>
  <c r="R21" i="2" s="1"/>
  <c r="P13" i="2"/>
  <c r="R13" i="2" s="1"/>
  <c r="L3" i="2"/>
  <c r="L6" i="2"/>
  <c r="S10" i="2"/>
  <c r="S11" i="2"/>
  <c r="S26" i="2"/>
  <c r="P20" i="2"/>
  <c r="R20" i="2" s="1"/>
  <c r="T20" i="2" s="1"/>
  <c r="P44" i="2"/>
  <c r="R44" i="2" s="1"/>
  <c r="P26" i="2"/>
  <c r="R26" i="2" s="1"/>
  <c r="P33" i="2"/>
  <c r="R33" i="2" s="1"/>
  <c r="T33" i="2" s="1"/>
  <c r="P25" i="2"/>
  <c r="R25" i="2" s="1"/>
  <c r="H16" i="2"/>
  <c r="S7" i="2"/>
  <c r="P14" i="2"/>
  <c r="R14" i="2" s="1"/>
  <c r="T14" i="2" s="1"/>
  <c r="S39" i="2"/>
  <c r="S48" i="2"/>
  <c r="S17" i="2"/>
  <c r="S27" i="2"/>
  <c r="T27" i="2" s="1"/>
  <c r="S28" i="2"/>
  <c r="P5" i="2"/>
  <c r="R5" i="2" s="1"/>
  <c r="P31" i="2"/>
  <c r="R31" i="2" s="1"/>
  <c r="S19" i="2"/>
  <c r="P36" i="2"/>
  <c r="R36" i="2" s="1"/>
  <c r="T36" i="2" s="1"/>
  <c r="M5" i="2"/>
  <c r="P45" i="2"/>
  <c r="R45" i="2" s="1"/>
  <c r="T45" i="2" s="1"/>
  <c r="S4" i="2"/>
  <c r="T42" i="2"/>
  <c r="T24" i="2" l="1"/>
  <c r="T16" i="2"/>
  <c r="T38" i="2"/>
  <c r="T7" i="2"/>
  <c r="T17" i="2"/>
  <c r="T28" i="2"/>
  <c r="T43" i="2"/>
  <c r="T31" i="2"/>
  <c r="T15" i="2"/>
  <c r="T19" i="2"/>
  <c r="T21" i="2"/>
  <c r="T40" i="2"/>
  <c r="T5" i="2"/>
  <c r="T39" i="2"/>
  <c r="T26" i="2"/>
  <c r="T25" i="2"/>
  <c r="T11" i="2"/>
  <c r="T13" i="2"/>
  <c r="T44" i="2"/>
  <c r="T6" i="2"/>
  <c r="T10" i="2"/>
  <c r="T37" i="2"/>
  <c r="T8" i="2"/>
  <c r="T22" i="2"/>
  <c r="T3" i="2"/>
  <c r="T29" i="2"/>
  <c r="T4" i="2"/>
  <c r="T32" i="2"/>
  <c r="T4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<sst xmlns="http://schemas.openxmlformats.org/spreadsheetml/2006/main" count="3950" uniqueCount="81">
  <si>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</si>
  <si>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</si>
  <si>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</si>
  <si>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</si>
  <si>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</si>
  <si>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</si>
  <si>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</si>
  <si>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</si>
  <si>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</si>
  <si>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</si>
  <si>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</si>
  <si>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</si>
  <si>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</si>
  <si>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</si>
  <si>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</si>
  <si>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</si>
  <si>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</si>
  <si>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</si>
  <si>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</si>
  <si>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</si>
  <si>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</si>
  <si>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</si>
  <si>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</si>
  <si>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</si>
  <si>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</si>
  <si>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</si>
  <si>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</si>
  <si>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</si>
  <si>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</si>
  <si>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</si>
  <si>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</si>
  <si>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</si>
  <si>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</si>
  <si>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</si>
  <si>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</si>
  <si>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</si>
  <si>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</si>
  <si>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</si>
  <si>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</si>
  <si>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</si>
  <si>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</si>
  <si>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</si>
  <si>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</si>
  <si>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</si>
  <si>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</si>
  <si>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</si>
  <si>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</si>
  <si>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</si>
  <si>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</si>
  <si>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Industry</t>
  </si>
  <si>
    <t>Year</t>
  </si>
  <si>
    <t>Construction</t>
  </si>
  <si>
    <t>Manufacturing</t>
  </si>
  <si>
    <t>Information</t>
  </si>
  <si>
    <t>Trade &amp; Transportation</t>
  </si>
  <si>
    <t>Natural Resources</t>
  </si>
  <si>
    <t>Finance</t>
  </si>
  <si>
    <t>Business Services</t>
  </si>
  <si>
    <t>Education &amp; Health</t>
  </si>
  <si>
    <t>Leisure &amp; Hospitality</t>
  </si>
  <si>
    <t>Other Services</t>
  </si>
  <si>
    <t>Establishments</t>
  </si>
  <si>
    <t>Employees</t>
  </si>
  <si>
    <t>Avg Annual Wage</t>
  </si>
  <si>
    <t>INDUSTRY FILTER</t>
  </si>
  <si>
    <t xml:space="preserve"> </t>
  </si>
  <si>
    <t>Selection</t>
  </si>
  <si>
    <t>DATE FILTER</t>
  </si>
  <si>
    <t>current year</t>
  </si>
  <si>
    <t>AVERAGE WAGE BY INDUSTRY</t>
  </si>
  <si>
    <t>EMPLOYEES BY INDUSTRY</t>
  </si>
  <si>
    <t>Others</t>
  </si>
  <si>
    <t>WAGES &amp; EMPLOYEE TRENDS</t>
  </si>
  <si>
    <t>Avg Wages</t>
  </si>
  <si>
    <t>COMPARISION BY STATE</t>
  </si>
  <si>
    <t>Population</t>
  </si>
  <si>
    <t>Employees per 1000 Capita</t>
  </si>
  <si>
    <t>Average Wages</t>
  </si>
  <si>
    <t>MAP FILTER</t>
  </si>
  <si>
    <t>Metric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</si>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</sst>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#,##0;&quot;$&quot;#,##0"/>
    <numFmt numFmtId="166" formatCode=";;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Segoe UI"/>
      <family val="2"/>
    </font>
    <font>
      <b/>
      <sz val="12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right"/>
    </xf>
    <xf numFmtId="0" fontId="1" fillId="3" borderId="0" xfId="0" applyFont="1" applyFill="1"/>
    <xf numFmtId="0" fontId="2" fillId="4" borderId="0" xfId="0" applyFont="1" applyFill="1" applyAlignment="1">
      <alignment horizontal="centerContinuous" vertical="top"/>
    </xf>
    <xf numFmtId="0" fontId="0" fillId="4" borderId="0" xfId="0" applyFill="1" applyAlignment="1">
      <alignment horizontal="centerContinuous" vertical="top"/>
    </xf>
    <xf numFmtId="0" fontId="4" fillId="5" borderId="0" xfId="0" applyFont="1" applyFill="1" applyAlignment="1">
      <alignment horizontal="centerContinuous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/>
    <xf numFmtId="165" fontId="0" fillId="0" borderId="0" xfId="0" applyNumberFormat="1"/>
    <xf numFmtId="0" fontId="5" fillId="6" borderId="0" xfId="0" applyFont="1" applyFill="1" applyAlignment="1">
      <alignment horizontal="center" vertical="center"/>
    </xf>
    <xf numFmtId="0" fontId="6" fillId="0" borderId="0" xfId="0" applyFont="1"/>
    <xf numFmtId="9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0000"/>
      <color rgb="FF269999"/>
      <color rgb="FFB2DBD5"/>
      <color rgb="FFFF74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8896133410153"/>
          <c:y val="9.0171416626019074E-2"/>
          <c:w val="0.54007329876448373"/>
          <c:h val="0.8953369103198383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Prep'!$E$2</c:f>
              <c:strCache>
                <c:ptCount val="1"/>
                <c:pt idx="0">
                  <c:v>Avg Annual Wage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Prep'!$E$3:$E$12</c:f>
              <c:numCache>
                <c:formatCode>"$"#,##0</c:formatCode>
                <c:ptCount val="10"/>
                <c:pt idx="0">
                  <c:v>93586.333333333328</c:v>
                </c:pt>
                <c:pt idx="1">
                  <c:v>90040.666666666672</c:v>
                </c:pt>
                <c:pt idx="2">
                  <c:v>74713.0625</c:v>
                </c:pt>
                <c:pt idx="3">
                  <c:v>68427.875</c:v>
                </c:pt>
                <c:pt idx="4">
                  <c:v>63896.895833333336</c:v>
                </c:pt>
                <c:pt idx="5">
                  <c:v>55605.9375</c:v>
                </c:pt>
                <c:pt idx="6">
                  <c:v>53607.208333333336</c:v>
                </c:pt>
                <c:pt idx="7">
                  <c:v>49366.8125</c:v>
                </c:pt>
                <c:pt idx="8">
                  <c:v>40790.1875</c:v>
                </c:pt>
                <c:pt idx="9">
                  <c:v>23286.416666666668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16-4DD8-AA15-28BFB610B91C}"/>
            </c:ext>
          </c:extLst>
        </c:ser>
        <c:ser>
          <c:idx val="1"/>
          <c:order val="1"/>
          <c:tx>
            <c:strRef>
              <c:f>'Data Prep'!$F$2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&quot;$&quot;#,##0,&quot;K&quot;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Prep'!$D$3:$D$12</c:f>
              <c:strCache>
                <c:ptCount val="10"/>
                <c:pt idx="0">
                  <c:v>Information</c:v>
                </c:pt>
                <c:pt idx="1">
                  <c:v>Finance</c:v>
                </c:pt>
                <c:pt idx="2">
                  <c:v>Business Services</c:v>
                </c:pt>
                <c:pt idx="3">
                  <c:v>Manufacturing</c:v>
                </c:pt>
                <c:pt idx="4">
                  <c:v>Construction</c:v>
                </c:pt>
                <c:pt idx="5">
                  <c:v>Natural Resources</c:v>
                </c:pt>
                <c:pt idx="6">
                  <c:v>Education &amp; Health</c:v>
                </c:pt>
                <c:pt idx="7">
                  <c:v>Trade &amp; Transportation</c:v>
                </c:pt>
                <c:pt idx="8">
                  <c:v>Other Services</c:v>
                </c:pt>
                <c:pt idx="9">
                  <c:v>Leisure &amp; Hospitality</c:v>
                </c:pt>
              </c:strCache>
            </c:strRef>
          </c:cat>
          <c:val>
            <c:numRef>
              <c:f>'Data Prep'!$F$3:$F$12</c:f>
              <c:numCache>
                <c:formatCode>"$"#,##0</c:formatCode>
                <c:ptCount val="10"/>
                <c:pt idx="0">
                  <c:v>0</c:v>
                </c:pt>
                <c:pt idx="1">
                  <c:v>90040.666666666672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16-4DD8-AA15-28BFB610B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5"/>
        <c:overlap val="100"/>
        <c:axId val="7476608"/>
        <c:axId val="7460288"/>
      </c:barChart>
      <c:catAx>
        <c:axId val="74766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0288"/>
        <c:crosses val="autoZero"/>
        <c:auto val="1"/>
        <c:lblAlgn val="ctr"/>
        <c:lblOffset val="100"/>
        <c:noMultiLvlLbl val="0"/>
      </c:catAx>
      <c:valAx>
        <c:axId val="7460288"/>
        <c:scaling>
          <c:orientation val="minMax"/>
        </c:scaling>
        <c:delete val="0"/>
        <c:axPos val="t"/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tx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189659511739116"/>
          <c:y val="5.4563153773910196E-2"/>
          <c:w val="0.48600582461438901"/>
          <c:h val="0.85834954175104261"/>
        </c:manualLayout>
      </c:layout>
      <c:doughnutChart>
        <c:varyColors val="1"/>
        <c:ser>
          <c:idx val="0"/>
          <c:order val="0"/>
          <c:tx>
            <c:strRef>
              <c:f>'Data Prep'!$I$15</c:f>
              <c:strCache>
                <c:ptCount val="1"/>
                <c:pt idx="0">
                  <c:v>Employees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EB2-4D77-AFEC-7B3AD7D07E8A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EB2-4D77-AFEC-7B3AD7D07E8A}"/>
              </c:ext>
            </c:extLst>
          </c:dPt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EB2-4D77-AFEC-7B3AD7D07E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'Data Prep'!$H$16:$H$17</c:f>
              <c:strCache>
                <c:ptCount val="2"/>
                <c:pt idx="0">
                  <c:v>Finance</c:v>
                </c:pt>
                <c:pt idx="1">
                  <c:v>Others</c:v>
                </c:pt>
              </c:strCache>
            </c:strRef>
          </c:cat>
          <c:val>
            <c:numRef>
              <c:f>'Data Prep'!$I$16:$I$17</c:f>
              <c:numCache>
                <c:formatCode>#,##0</c:formatCode>
                <c:ptCount val="2"/>
                <c:pt idx="0">
                  <c:v>8142043</c:v>
                </c:pt>
                <c:pt idx="1">
                  <c:v>116649339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B2-4D77-AFEC-7B3AD7D07E8A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522741669478525"/>
          <c:y val="0.18091991431508619"/>
          <c:w val="0.65309822460037803"/>
          <c:h val="0.60156141556130982"/>
        </c:manualLayout>
      </c:layout>
      <c:lineChart>
        <c:grouping val="standard"/>
        <c:varyColors val="0"/>
        <c:ser>
          <c:idx val="1"/>
          <c:order val="0"/>
          <c:tx>
            <c:strRef>
              <c:f>'Data Prep'!$L$2</c:f>
              <c:strCache>
                <c:ptCount val="1"/>
                <c:pt idx="0">
                  <c:v>Avg Wages</c:v>
                </c:pt>
              </c:strCache>
            </c:strRef>
          </c:tx>
          <c:spPr>
            <a:ln w="38100" cap="rnd">
              <a:solidFill>
                <a:schemeClr val="accent1">
                  <a:alpha val="88000"/>
                </a:schemeClr>
              </a:solidFill>
              <a:round/>
            </a:ln>
            <a:effectLst/>
          </c:spPr>
          <c:marker>
            <c:symbol val="square"/>
            <c:size val="10"/>
            <c:spPr>
              <a:solidFill>
                <a:schemeClr val="bg1"/>
              </a:solidFill>
              <a:ln w="25400">
                <a:solidFill>
                  <a:schemeClr val="accent1"/>
                </a:solidFill>
              </a:ln>
              <a:effectLst/>
            </c:spPr>
          </c:marker>
          <c:dLbls>
            <c:numFmt formatCode="&quot;$&quot;#,##0,&quot;K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Prep'!$L$3:$L$6</c:f>
              <c:numCache>
                <c:formatCode>"$"#,##0</c:formatCode>
                <c:ptCount val="4"/>
                <c:pt idx="0">
                  <c:v>77330.083333333328</c:v>
                </c:pt>
                <c:pt idx="1">
                  <c:v>80167.854166666672</c:v>
                </c:pt>
                <c:pt idx="2">
                  <c:v>82837.375</c:v>
                </c:pt>
                <c:pt idx="3">
                  <c:v>90040.666666666672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4C-409F-8A58-A103D3B715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582464"/>
        <c:axId val="1164585824"/>
      </c:lineChart>
      <c:catAx>
        <c:axId val="1164582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4585824"/>
        <c:crosses val="autoZero"/>
        <c:auto val="1"/>
        <c:lblAlgn val="ctr"/>
        <c:lblOffset val="100"/>
        <c:noMultiLvlLbl val="0"/>
      </c:catAx>
      <c:valAx>
        <c:axId val="116458582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Wages</a:t>
                </a:r>
              </a:p>
            </c:rich>
          </c:tx>
          <c:layout>
            <c:manualLayout>
              <c:xMode val="edge"/>
              <c:yMode val="edge"/>
              <c:x val="1.3823465436986123E-2"/>
              <c:y val="0.307005231728584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none"/>
        <c:minorTickMark val="none"/>
        <c:tickLblPos val="nextTo"/>
        <c:crossAx val="116458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704399996591133"/>
          <c:y val="0.15782398739668477"/>
          <c:w val="0.65309822460037803"/>
          <c:h val="0.60156141556130982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'Data Prep'!$M$2</c:f>
              <c:strCache>
                <c:ptCount val="1"/>
                <c:pt idx="0">
                  <c:v>Employees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'Data Prep'!$K$3:$K$6</c:f>
              <c:numCache>
                <c:formatCode>General</c:formatCode>
                <c:ptCount val="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</c:numCache>
            </c:numRef>
          </c:cat>
          <c:val>
            <c:numRef>
              <c:f>'Data Prep'!$M$3:$M$6</c:f>
              <c:numCache>
                <c:formatCode>#,##0</c:formatCode>
                <c:ptCount val="4"/>
                <c:pt idx="0">
                  <c:v>8021586</c:v>
                </c:pt>
                <c:pt idx="1">
                  <c:v>8120224</c:v>
                </c:pt>
                <c:pt idx="2">
                  <c:v>8251469</c:v>
                </c:pt>
                <c:pt idx="3">
                  <c:v>8142043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1B-4C19-B5AC-01BCE253F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164582464"/>
        <c:axId val="1164585824"/>
      </c:barChart>
      <c:catAx>
        <c:axId val="116458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585824"/>
        <c:crosses val="autoZero"/>
        <c:auto val="1"/>
        <c:lblAlgn val="ctr"/>
        <c:lblOffset val="100"/>
        <c:noMultiLvlLbl val="0"/>
      </c:catAx>
      <c:valAx>
        <c:axId val="1164585824"/>
        <c:scaling>
          <c:orientation val="minMax"/>
          <c:max val="30000000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Employees</a:t>
                </a:r>
              </a:p>
            </c:rich>
          </c:tx>
          <c:layout>
            <c:manualLayout>
              <c:xMode val="edge"/>
              <c:yMode val="edge"/>
              <c:x val="4.3341240874498643E-2"/>
              <c:y val="0.307005314169596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,,&quot;M&quot;" sourceLinked="0"/>
        <c:majorTickMark val="none"/>
        <c:minorTickMark val="none"/>
        <c:tickLblPos val="nextTo"/>
        <c:crossAx val="116458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5BC0E904-3724-4016-8E7C-DD0CED276E81}">
          <cx:tx>
            <cx:txData>
              <cx:f>_xlchart.v5.2</cx:f>
              <cx:v>Average Wages</cx:v>
            </cx:txData>
          </cx:tx>
          <cx:dataId val="0"/>
          <cx:layoutPr>
            <cx:geography cultureLanguage="en-US" cultureRegion="PK" attribution="Powered by Bing">
              <cx:geoCache provider="{E9337A44-BEBE-4D9F-B70C-5C5E7DAFC167}">
                <cx:binary>7H1pb9vI0u5fCfL5UsPe2QdnDjCkJEveYzvOJF8IxfZwbTbJ5v7rb9GSE5tREh+8fi8g4HqCMWy5
1c1+uqqeWrr077vuX3fpw6Z816k0M/+66/58H1ZV/q8//jB34YPamJmK7kpt9D/V7E6rP/Q//0R3
D3/cl5s2yoI/sI3oH3fhpqweuvf/+Te8W/CgT/Xdpop09qF+KPurB1OnlfnFa3tfere5V1E2j0xV
RncV+vP9X+nm60Zt3r97yKqo6m/6/OHP9y/+6P27P6Zv9cO071JYWVXfw1iCZ4JzijEW79+lOgt2
v7ccPnOoTQi2sdx+PU16vlEw8BUreVzH5v6+fDAGnuTx+7OBL5YNvz99/+5O11k17lYAG/fn+49Z
VD3cv7uuNtWDef8uMtrb/oGnx7V/vH582D9e7vd//j35BTz+5DfPIJnu1e9e+gGR+UO6aTflw9Pu
vAEkcmbbjuCYsG87/xwZwWaUO5wS5GxfZ09zb5F5zYr2Q/N95ASb+eIgsfmrjAadvaW00BmWBGMH
0e3WT4QGITQDaWKSM26PX+glNK9Y0H5kvg2cAPPXl4MExtOpLjf3+ml33kBonJmUDmM2xY8bP+78
c6FBNpsxKhzCydOkW2l5zVL2Y/J95AQU7+IgQVkCJtH9G0oLdmZMMoY42ukx+RITB8+oIwjFDtli
NoHmFQvaj8y3gRNglodpYi4fssz0abPJojdEh9ozR3Iune3eP+qq5xIjxMwhjiOFsLfwOS8F57Wr
2g/Ry9ETnC7/OkgB+qtMNpnZAFN5M3ZGASNAiKAdFQAMnmMkQYKIRIyxHYoTKvCaFe3H5/vICTZ/
XR0kNrcPpdJZ9XbQUDqzBcPwH2it55gIDBQAc8kdspeevWIl+yH5NnCCyO3NQSLibdLoH12+qU4j
YoYZBaWG5H4WgOSMI4EFojub9HQgdmTgVWvaD8/z55kg5B2mPjt/aN+dPXTR3VvyNDqjGBEAYEuQ
7Yn0IJvPkA2iYzvoJTavW81+bJ6PnWBzfnaY0qOz7OGuiu7qt9RpaMYEQ4wQtld8QLUJ4oD3gyd2
xnvdavaD82LwBB3vMHXb0YMug7ckaxCm4RR2nkq0FxmHzCilRFB7RwQmVPoVC9oPzreBE2CODlOl
Xeu6Ct95m1Kn0ZsGBshM2kSCatvhM1Frzki2ARwIEGxJAX+p3F6/rv0wTcdP0Lr2DlLJre834Rva
HqBsxJG2wE/Gf8KmEaIzziQRjj3Rb79dyH5UdsMmYKznBwnGWQQWx+hq83Ry/+dBG8pnBDQauDA7
rQUm/zmVlnSGJAQHIOL2NOmWp71qLfsxeTZ0gsvZ+UHisk5BlenIPO3QG8BizxDICMTKdlHOadxG
zhB1OGHO9wD11uPdovOaFe0H5/vICTbrw4zcrLP7aPOmdkbOwLeR1Hly+Kd2hs+AngkJQeotT5gq
st8v6CfIPA2cAnOYQjM6BMcPpXno31ZswG+RjOw4ACit59pMgHURDoNk4S4cSp/m3orN69a0H57n
YycInR8fpFo71XVk3lh47Jl0ABv+LSD9EiCJgKQhB9I7u4jnBKBXLWk/Ps+GTuA5PUwivdbtWxIB
DME0ypmgdKu2JmpNktnokXJk716f0OffrWY/KNtREzzWh4nHyVtHnh3IzVCBx/D/49eUmjnApW0E
oekdB4BM6HMO8Pv17MfkadwElZPrg1Ri57oEd3O+Sd6WNgtw9jkBb3IXYZ7wM1BxUCEw5qmfLM1L
bF67qv0IvRw9wen8QH2bTZQ9PG3SGxBoBn7NWAfwTDieMwEuZxiyohR03pYKTAzN2e+Wsx+Z3bAJ
JGeLgxSdE9Am9V3yhvwMkgMMC+xwtqtomrj/DgPuLIQgaJeOnnDn16xoPzDfR06wOfl8kNicbco+
3WT3bycxBMo3AByQl5eUTPCZsBHU3MidpAAxeG5mXrOS/Zh8HznB5OxQVZgxm7uwNg9VZZ426Q1U
GZ5BvoxADcD3KoDnqkxAwZPNoE7QmRCAs80r1/MzeF4Mn2J0mCTt04Op3t1GkBp426ynA8kBzATk
ZbbmZFKVBsFnDik38E2/B6efC9Grl7UfqsnwCVSfbg9TxUV3YRRssjeUJKjlEFRIgGmL0o/mRxBb
Quxm9/rExzl7xYr2A/R95ASbs/VBYjMGO1YblZswesu6W0pm3GEQG3jKfk6cUFB1TEBZLmjCrUs0
CUq/eln7UZoMn0B1vjpIqM4iY8Z/eR69nSSNNesYKqS/hZ8npMGBIg/GMZSC7oKgP0jSqxa1H6YX
TzQB6ewwvdQbqC+EEv2HN/SACIPbA2CNbGeX2ZnEQuF2AaEEj7U438ILz03Sq5a0H6BnQyfw3Bxm
rHo8cbou31KAIHjDBaQQ6P5I9VhWCH6QQE8BhIkn9JoV7Qfn+8gJNmeHWTN9BjWFb5rgoWIGZJoh
CaUcj18TI4RsUG6UIczJNGjw+6X8BJOngVNIbg7S5Jw/fC03JnnL6DQYfigZJGD8vxn+5z6QlDNI
KwgMF3a2r0/szWtWtB+a7yMn2JwfZlDn/KHZvOUNAyJnhHEKgbb93ilCHKgAA+d0Z4cgiv3czPx+
PT/DZfscU1QO09fZFg+9eZQaKj0JBDmBM+/1SscoNSY21H/wiSZ77Xr2Y/Ny9ASh68MM7oy+wWdd
Jk+n903iOhBUw3S84LnPzsAlQ2DQNrhDu8DbDzrt9yvaj8/3Z5lgc/75MO3NY47nf6GkEC6sEShG
+6bbJlEdAVU4Dqg2zndWaYrQq9f1E5wm46doeQeJ1kUYvWVFISTa4PYNsLX99gduuMErEHqjuywq
sLnn9ud3q9mPzHbUBI+LwwwQXCQp1Hi+6Y12kBuHQIJ0R8amN0ElpIHggoFtP9kliB68wOQVK/oJ
Lt9GTrE5OUxZKR8C/ZYRUCiSBn0FlYN8ywgmcRuE7RncZIOrunSSTLj47Up+gshu3BSPq4PE41Nk
7nRmoreEBGrSoIiAEb5TYBNIIJQmCIZLvHL/Fd1XLWk/Ns+GTuD5tD5IeK5C6Erxbm3eNjNKIcGG
HYBg1+xBTtIGY1QagXczdh14/JqYmNeuaj9IL0dPcLo6TJxuHro3vaOLoNiGOBTudmyZ9LRSCnxU
YNlQSPW97OC5vfntcvYjsxs2geTm74MUnY/VJnyywv9z32aMCkDKGlI1OwowCT4/dukQUOeJ+YQz
/24d+6HYjpog8fEwo2f/C9lp4FsIOxIizlsFNVVgkL2G+x8MLubsVWCvWdF+XL6PnGBze6DlAxvI
eGZB9aacDGoJESJQPPCTKM0jJ4O7h0+5gkkE7dOr1rQfn+djJwh9OlCEeg39uoK3U2UUQ1sbySG0
vEsHTFWZDdLFEERA7R2Be5p7e6fg0+8X9BNsngZOgfl8EAbm7peNxLbmd2toXvzlf9s8TYIrCbID
F2/3BtEgMQAl0tBy6Kl6bRLonPQ3+/my9mM0Gf7iSf4fNU/7eWO1b03n5ptqs3jsVvest9qvX318
XGihNxm6c9P3EoTt3q3v/3wPMWUJ7uO3Lnjjm7xw8CeFFj+MfNiY6s/3lhirppAD0WkbiMT7dy0U
b42/xiBwkOtxILUNN0WlDRQiG0Nlf76nUPYLdxSAh0MN6ZiUAF1pxgvH8BLc35agZCWBrCpzMLQ9
eHrIS5324GZ/25Hdz++yWl3qKKsMjH7/Lt/+1fiADJomCXgjDpwTGsUB9QeLmt9trkDzwB+j/0Mt
3gWFI4ZVkrHQIwP3XcyD22ebsmcSeMQfJ5EOLJvBc3IJmuf5JJVurBx60wyrOsGF2wkzzEPRCC9P
aAXZqW/7v2cqcDJ/mAriaI5gUBJtMzKZSiu/K+KADKuuiSo3SqPkBDSi7yKdKzeFloUrhUrrqBsY
daXT699M/8N2jg0NKHQ6AmIIoDFA9PmT4nRwWMtxsYqz9gYr8cmJzPzXTzi+xQvEximYxAJuiXMH
c/vlFGVp9bXto2LFUHvTMXJrJNJejZFw7aF4+PVkj7WX0+mgD5oDrVCg5RmFur+X05GgoLyTxqxo
S4rjIFEo97S01HHCfHWcNvQj9dtCuTQoKttlRMfKLVI5lK5KSlXOjfYjV+AASTeMnWRdt0Iqr9GN
LLwuTQPtGiPjzMUFyltXhdItY4nXOFbkK47bo6Ax1T8ZdazILSsb3/ZG5p7Vy1rNEysj52FRyzkJ
EzKv7b677WO/PI140AYuwaIM57SQ6oazNPgU9UK7UpXkgx9odsGqLLnizIrdhpbKrYMqOK+bDLmB
kv5cO3XhMpsVy6YehnXiBGd1bDVLotQ/VKRXOqJ3fHA+VKVWXksddZzb3ZegoS1MEfOFxeA9FYmH
eZIPxVFSsMgrMzRnJm4fylAWaxGHF3nPrXkkdbmgWNWLVrf8vOtI4kmL+8c4ILfCQv5xHEaVVxiR
u1HTPBBuyZsOgjvzHsXx+SCL4KbiNPVqJ/Fs2QRzoQPf7Vq/WQ1R6i9iuwvPMsO8OvRd23f69oQF
Nk8WbWlVvRe0fSDXlRPX3TLSQt4UonHmocOQh51InOZ2HNsnWY58tMy6suQfaSasT2HSlBeZRvA+
TtfhG42S5iQto3oFds64UVlWClBl4YmvivJMpzZb4KxIlqqVcERUEV8WWvde3GZo0fQ1XjZRat9S
nTjzvik6zwojXH+uI7tAgWf36NQaRHAThcWwyCKNXJ8rOg8LbhK3jZBcD1bpn/p+WH7Ih6y8VKU5
9WVPPheDU93QmiSrwgrRGeoIX6kMzkIx8GhZV1l3lCnyOUxK1rtJVAfLWJBuRU0kP9g8iI8skpdn
Q2Dpyzrt59jU/VnQ6bzwZJ7ay7KNi8+asyBwI54HLupYdFRKWp9Efpu4/hDyy0iYpe8TrVy/EsiV
KPgS10m4hmGfuiY4psov5l3efsj75GOMTOBaTWwdUZU1J5XhiRuFjXGbOmg/WH6LjjCJ7BWy83TV
q4quWW6Kk17bfuraAdMXqge7AScac8e1/MD+QPyi3xhL214KQnPaBLF1UgUcH5FOhnOeWiybxypL
lolfiHlhFzBbkBAN8mJZxNO485d+HvbHneX4n52kyjzfCeRR4PvtSRfHsSd03XpcWuGRaWwfZF9Z
LqZ24FK/7jzFEukSnrbHAw7RaQex3aUfc3mrtY49lUDjWi7CDfHJJ4mGfhFUlX0Vdb29wg35IgBX
y0mD60Tb1EUCdppEw3FFde01flK6A7Wqud82ybxwUOjxIT6zTJF/iAs/nWfFcB8FjnHc0E561/GD
Zu1bQb1Alv2h6+tl1elgFVt17GqZt0dDAm8b+Lz4WCJLKFBPrTXPi1Iva6zJxjRp4uow5wvTLYs8
IDeM5dLLUFJm60w05rK2crIBve2sI9WSIxuFqdc1IV6EYQ0IMZoP536aVNglft5/1MhJT0EhDWvU
ydbNMftc6ta4WDqW2zq+9tLcx3Njh6eBkx2FYABc1dhN5QaB8t1UoezcKGedNvhjokLbxT7KvMAp
j2npWPNhsPy5n1jOWeAnD34nY28ozELUmG5qm+Zf45o0Fzk1SrosBdkDlcAvoj7uTiVH6ZorXK6I
EyVz3Q7t37priQvFtDCzLeO+91IOAuRaWRf/I2Mr/YTawr7xxUA/kCHmc5JK5KFUxcbVLCVHIg2r
Bc/gfKGOd/dK9dZFUmQpbHPmJaWIb1nIslUvI516RZnWHqId9WIK2iN1ivSoHgQ9TUnUFi7Jh+ZC
GcdaweVC7hWFuIPSm6ByGwm4Fz6L107siJvUdOgoY5FalJj2nmj6aIUTiheIy3BVR1qf6K5mK1Yx
dsEjlKxCKwi+OGyhgqg/SvsQtr8Ju48INNccU+ksYZPSG+IEyGM2ylPXqhJ8TQu+4K1Sn6o+oV+6
hofnvOTDJ5ORuU6iNnLjvCzPa5RXy0TFcPJ6Ea9okpZuyuGQgfH8J0sMdv2iTJY88M0a7GO7bmIC
OqPotOAnFVI9Tuc4NfWWV+xo9Y46banhnc77MgrCXRfpbz/+50Yr+PfY4/j7L8cm1N9/ggrwbffq
X/4V9PoZvUYz/aNxNd/eCxazW91IrF/88APLf6K4Ex6/bYb9kxdfR/Kh/4QDLPEbyfyB5E86L4y8
eTdmR+8dOhMQVB9bJoFzDWn2bwzfcWb2GGznwNVHfj+S/yeGj2aCQbIXcofgdENUBKjkjuHD7bLx
quw4TDpyvI3xXzH8MeP1ksKhx/7OQL+hTHa8k/6SwtUYYkFD2FlrnwzdnBRpumGx7wcu2Facu+HQ
4MbtTT94praa1ksCjE55WKozcAdo5yGUJQvfjpp7USN1Mfhd9kXaca/dQCZB5MIoNe+0Xy1VNmRf
FPPJGpwbfFFGLa/cuCnJ2YBSZ/CSWAVqYWTKjyLuXIsySa/Krm4u7GajdFm6oQmT26qxy88gMI3l
DU2aDUeJnUMcPq1U50bG6gfXIgH2553MSOeSSgTJIudF8jW0EgK2oVRB7Pa49Bca99E66YrOuH4q
67Og73yyBPo80DkroUfWItXQVtYriYyRGzsxOSpkOIRuF/rhKYmBCC1ILyIBCi7lxEusRN/lJs8/
68oezmvT215NUnMSSNPeOarJPtMqYqnXOEF/ErVJ8aHP42CDQ4zdKMbaVUUNjFLlHq+x7XWR054P
rNOXjPRagrrvitLtVSuO0i5Kzh2iug80JcMy76t5b/RaiLYO3CIBy5fVpctpf9TiSFyiwkjsxkTd
dSZFLumUc8kZytd+FVfXpG8NtIY3ZkHbnqz8IUepm1lJdsyqQMzjfqhPnK6N/PVgUHHcDGmYjFRC
AqdhhTh1bIUzDzyP9JaovL6uKVjduEbt4NZJg/6OROL/XVl5t85bViyyTFqn7YBjt8oi7uqhp17b
+cPpEKD6U5r0wJ0YMPHT1i+Lk9Bxmn9kKYfYDfrKSuYmpeFFQ7N0kRcyi+dZK4vMRUg0Z6nVlaAL
eZ1sij5OF4HpCnYURAqoFXgL5kscp2nqtX5R5G5SkOAyc2SGVuBgRVdhnpBPOFDRBzkwmI3YorxG
OY6XdRHSE4TjxnbDWocri1SBcXudz3HVFKu2R81VEKrU4yruPltZUB4TW8mHtmxFueS2CoCXkNaJ
Fm1RyCsZ86H1TBVo629wRvllSKMscRvHtzJXmiG5o7km0q1DnCwCe1BzySrkFWDKbwDH5GOLTHgp
uticGdSHx6LEjVwg3RanoZ/RucX7QM3huOobhxT2RVBW2sytAl5HOqBnRUNrvYBaifw8BqIbGbdV
IOV/dxmKaQxuMLSFge3pIDKRH8smsuGbzhCwLreTTR/zK6NlZ6enmW13WeViY1XDSrV16/rNYPtX
fduQ/jhkYbwqWn6JnDiZ51QMHiFR4Pa0lNddCtIDHKlOP/tAw12U+k06FzWVxktyrL1MGXZd16zO
3T5ClVfRvvDCLLLPaa6604rx8IgWMXONNqmXJH2wkH4Dzgap4SiCvFz5prPF6BKlHzu/JeqU15Ud
X4rIDKmcA82q7Ws6mFaVqSt4xs4xKqxVW5e3NA2BSSeOTOZdSdo1KZvjJsj4mc7z8kiBMZ+nXToc
5bXqPxTawes6TgtXOyxYO71JP7QlKa/SNu48msTR0icyXYgcgIR6BVf5JnJREZ6rGORDVaFrV9Fp
Ex/nbQTvRKziqBZ+sZAR/sz9kLksto7jGBh7oW0X4kgG3sZqva4w9DakhK59U2oPwbYshXTMRWTT
z7LOg3k7ELnQbWOdxQPyV8GorSE68ClDVe76gQ8g9/elASdigD30K/skjjC4fEgm9tI24ceOhJmb
xvrWEb1YKye/Y4DYoovwld2Xcu5X6W1AygvexvFlVWR/U591Lu5PRNTbS2Xr6yYi4Oh2ovJau1eu
3SbNHGdpk7h1lzsrEaLE6zkQvLoxhXDBGzorImSOS2JOqtgPlr10GnBoGjpHpk8Kl2Jhz4VMwuMy
EDSCx8uHz2FnzJnsWrrkLXIxHKMTDmif2kGJXduqsyu7K/QR+DHgNfUDnKZeD+d96cc+nB/UuE7E
8g9F38srMpRJOIdIUPohsbr2gsvyXujQPk6iAJ0MShYLy7SO8nLWoVHNFpZyHTh+N8Iugzn0vNTz
omN4MURGzQMe9OdpN/hu36Dy45AEtWcxas6xjD6w0ipAJJLQK5vGnKsyUV6pUnXdpL7/gWGfurQu
Y5dpu58TgEn6djtPMAk3aedvQmMXH3Au2kvcye4kKg254pHMrusWgg4V4cdGqMzrajg6sWV/YiaE
mIUF/wvjzvfgkwX0HCfiru0ac+VYUnhD3fVL0g9yCWGY9B9u/Ox8aBemHurTtqIkdcva0HPQMdZp
XEUCu0WoiiuWhsCnRZacEKGJx3ycH8nOhHc0TUG2pDbGE0l9BYcwPZfaTi9j5jOXZ1wsIj6YOeS7
LwU1dF7huFyrgZDLFBq3zq26zy9Yi76wpuSLAlnJtZIJdlkl8KdK02JpWpwgOBlhkrrACzi4AyJb
9hEGLwhKUY5QXkYnVsPlMTNtv8qcqFvzCkxklwx8baXQO+H/8+Rt3HpvEuNZSJsCQ/05S55kECbj
dkyZ8xkEtAl054FUBnTrGyPe22A43N4ac7twywvuTEKw0QGSumPKUJZCoIwLch+7drE7mozgoj/B
DK64IrhSIaEV839DkwkUtzxjyeOMUDQGLi2EBaHhCTRIfcmSUxRDfK5N2IOD/KqWC5zT3Eo9O2+i
4ZaBmUo21CqZWWYFcOXxKHcshCiV9u2vQVbSzBrjJIk4liHr63kirQyYg1SpOUuZyq3e1UnH8q8s
qeJOgw3naUy8QAiKHkSn+/oqDTuRbhyH5f4dUaTg5wGPipy4CgHtTT2aQ1DxIkR21WbzIGVlkru6
ZUqdItFDGHQRKIX6E6xIFv9jmUbDmGeQ7lzE59mCl54ENIKxoc5bwjWJsds/bBeciOfhbYFUVIc8
dB78VmdxsaoUTekqpY0pxWowQRW13hDl0K07tf0I+8tfT4/G6P332DfMP14lI1BqDsoBOjhNEwlD
TBzDbR7dxyghSeRVmjASulJiq4iXZdcCE5qXYRXQ0LWoNeTZZUtJbzCojYG35LjiYQbxQq0LUqJz
cOoKeO3Xi3wZn4fqXCjRgZaGUKQA9e7jsXy5R10YWTgsiXXPrbKx8TyAqKUolqlDK2K7WVlx/iVh
tl9BSdQ3cfs9NuO8VEKbJahUgdAQmc6b170W2iLOfdDDmeNuA+FB83dIfZwFbhtHdXSR+fBRVZUb
hhrqWdxfT/8y8TI+toC6JWgsLCkEF0GGXj52wJrIgjgzubdEKgowEq3N2QYEyarWeohEeh5ZSKMz
khR9fZ0Y2wY3CxzTFDbl1ysBn/r5IYGsDwZ3Gqo/x5u70FN/AkDFI/BNk8y/8+WQsfJIF7ny+4Xl
KyP7o94pO0Dl11P++PBwLYhDnTC0ext7905yMqEI/TTu7fKe8hakfNkjPqBkycoWzOkicnzKv5Q1
7HrhGg7VRl/A4DelXDSRtvP2NwcBTTQZbIC04UbsKKjQpBZ6a02gAE+KybyyvkKcTihr1VXhKBCq
0yF8LFbdxnSgXqRMD85/JzGBVbHIDutrlfO49zILldm1VKEqs3nBdImvVBNl5uuv92zUp89kGTJk
cGOH2nABEQIgIC0TXVK3vlPaxdB97cqqhENg14kNm2VDgJFZLtDyxrrOMfhwIDRVq8dvUR7U/+1m
wb0uaBcHyVbpAJMG1fZys5wCm6o3XH/NUmaBDo9Bew2t2/R21bMT4jPQ+yao4fM6VAzsMvXKXJWI
rRwL0kHJyI/Io+bvQxiVRUPanNAuyYGg/Xq70PSMQbtnqHvC0PcRCDDj00xtR9osl9lAvhofc0st
4srkaX1ZDFWUZ15b9AUsDgLWDbym+0Lpfu4kQ29dt3nur40s0zjw1DDY/YkKi6zy3QwiVn7l1cy2
0iuuZDAoDxMgdtjDVtyj7NgeZArvmkAmoyh+I6ZozBw+PwBwZRs+NUZyG2qGoFfyNFcKJzMrmqzJ
vwimWcy8HLKQcBR9v5ay9NAgLFDtfr/VnmlN4bX6UZ1AJsqBl7oWKHABTJb8XqDpVIvDpVggI0wi
hKHO/IdjkXSJUX6o8y95CVJULIhJHHqGUUj6EwIZINgO8EbT4VaFXd8LcOXLtgg9UPgtvwqKwbdW
paLxcFtateHnTsRHgtDRRqXyKKnZCI82RMIR6hvBmqu8jJPhdkh5AkkjO01HoxXB7gNAOpMh/JJA
THe4dVTXAXaExT18M4MdVM48Z4aYJRf1iF3SBREQjOJxeukEVt+6ju5ieAsN5AFWHlnZyA2qnKlk
0xmeFflSNiVqrinRQ3ValokPMelUlVh5VuCrbhVQMK6fMyfz6S0kHxAcMuEEwDOaItNAUX592Eeh
+340xgQ6HIrx3jiwRIjs0wkXa/uhi8qBJSuRWWXCPKGUIF84OG6gkv7bqeCjCR2QK2gyAB27pvKv
fKz6Gry41dZUNSwZVU2HCwXffj3V1DDBmRIQ7oUyHio4VAdMTCTx+wzS4Hn6ZUDKlOCiYFvkEJvR
sU7XpC5aUH+/nnGqY/HYBRMjYCMQYpY/zGhK8PFbRdrPZKhHEWtrOip1bEQClIQ3BeNf/JgMIFot
risTnAlQlyB9v17GGOZ+hidwd/hgSCzAHEPLWkyB+79UsgNp6sKSXN0qmqmKuJWumfWgi7AAHRsm
BjLApQ+BqsvGOAHo0TxkOlgEToUb7UIJS5s2boWD4iT1HX7dkTJ1ete0iDdXlWPZkVewodMnIBp2
6MY29aMcEo9QkwMqLLRBunQTAmda+3FSjfqsgYqbi/GDLPPeJUlJuubo10881dYOdLGyx6Jg/Pg5
ceDpvHziBOI6WQsp+49NndlAzVlZQtQEN8MojRSoI12FqO1AGLtEEvgWVI983eL5KKikjlvsX/sd
HwUVF9GgylWUYzIq/mIwNloWaZOb6GhgfQK6xG/V6Cmg3lGgcwQqQDn8+pHwRF87wOscIAOgqwFB
8NgnQlmQTA06zvBHpwoJaIwqD8YFVBapR4X0qJ3gHmgPa/Mh2wCKCyzAqChLyJ4mG8i9g3MC2fHx
V7pI4N59KmNBV1GbjvtQ9K3m537RwV9FIRkfEaKc3CwTS5RkmTtlQ4zXgxWEx/3No038Gng0CfoG
Q5MKqB6mwGJfolV1CRJprfuPJGhG/VuVBRytIR0ifVfZToIzt690MdwKnI1WX1kaASAdV2nQLwbF
URUsJbHq9iNw7xK2oxWQtMuOSTOAjswiS8IRo22ajzq7BmOwinDegrKugGfBhFHl2/ATeI4ItgLC
ybAVVSVCq/JYWscgEqHEMfy03Z9RwY9tC37lP0xk1AESBJxRYKidgo88+oHAQyyf8p4X1k2jhAbt
sCXtOHS6JvHAXw6D7HdqYWJkxykpAXfFBmMLt06m7qQdayDGeSduTI3ghFQ99KOLjoDRwP7QOKea
LfzW0pC94SnpYcPTxs+AiIHSg11qyy6tLgU3jh8v/Yo6oAxAIJurEjougF1TFgh+BYUy/HwHW1C0
GWxllzoZyApI0QhHkHQjEFYMUUnsyT6WzZWtlYaVsCQBi/t/2fuyJjlxbetfxA1AYnoFMrNml10u
t+0Xhct2IxCDEBr59Xfhcsdp+8R3+jvv98UVrspMkJC29l7DTpHro/r+b2YbwqEK4yUQqMEWDWng
7+WSyPkKACGyD3wTR56zg/PJP8stm83bEJWGoov9///Tfb1eFv/0jh4+319XeOG9hLI+Ng8IJEeW
5Tu+DnUMli1barWhf9l/dz2ccoeVCKZiuL3oD1/+35EC4hiCr+2HBzZ0SORngfIobQsxFuQ0AwjG
kP/zBWlFMIR/JQ0gUPPjVEXUxZdvIFn+vQBG1bBFXezDe85DPrJaG0Fkw1zMhoc83akKp5WrXJZ1
labVwGul1n69iUdDfFZLJMXRreqmiN6ziYMUXN3iu68xRElXjhmat6KYl/EbHcZdvZuWfMJXOgPw
dG+oTWK/t+UwV5lsVpQZmzk7l5X2Qa2c+aXOp3hK7kiskqqdZwVJxOC1UaxefLmCieKzVYDuOy8s
oovdlQtj7aMMbM25ShNDn/JRBwoZFCBpZy6ycjwBvRlYp681L5DAN8U+un0H+oG9La+9CMzU6yaH
/GyroiNtNkV+f+/yJe0/GDp2rCVUp0kTAGMsoc47vVUtKAknmg5yuSu0ctQtCAm337IKRNAlcQlP
z120lTw+SbFM9DlkthPRMyBf79977YmG8EbP0TscwYX5lqk8ByZegFpZarksCd/eVn4fxYX1AMHO
+wLhHDRGSLlS3hRq39byJZmGcv7GU7lY32LvhfV7ZbRzcSNGtyXDlWbzmpUtysUMPDKbIpE/VEkR
CXGxuUy3kX/n5Uw0ZtknpFT0fieLRYzYE7VJ/pbksc5jkJRUyuLaVKznYLoyL9buNNhOO3vnMtb1
oHUoOK/sHZtTsl7nA+VdecZayYmoJXgw5EnjVvauqruI5qtuOVP7EK5dt0G7dnH9hOO7EZWjOLGs
7E32cYlMnm3XWBwuYg04qw0wlJFIzqtaB1L6/M2INBU/9Osvo74f8Tc4wykuty8bXV92s1apvRly
Jbv0KvFRVBRNGDJhioufh2Q6REb2SDTiLOoxnI5kOKW/eBbg3WyGjFdZ9yY46WTxOLBocOO5ECRK
5bUwBx3zJh9I1lf1WlUHdFUonYGWL6D2ivZbSscNMxWFFWfgPY7BlWe3EWGqGO+SHtwO0P/BDSU7
gR5zW3daejSfVg3OgOOWgo3GOD3FHQ/92sZSDKpsZx2DuvmYdumM603DWFXPpivXtVGASzCzaWl6
HMlNkvPjQ3D/yAFrcK1H6Uf5htE3kiczyc8Dd8eMkVEL/Fg2rhF+puI4Q6nVXVk0ldMLFsA+I4G7
6EpBkFhDn3wMletsx/StA0qFAofzxnC1kSdHCEv64/EkkvI0+yMZ/THPM60GQI6RiRQeRTSLktPv
64q6dz2rvkfq2rgyCcXa9CXPDAQNCzWr+aCH2fQz5ivi+3LhZqeJvy+H4rjlHk9a7k85VhauQPCn
9YVF/lhguYqOJ5+FCL8bq+mYGmsTvBQ5S7k63IOFMBRj/DkepQhZX4DLcvwu83LJn0RGWUUa6irg
hLUEQYe5+Ll62L5V+MhiiI7BMR1+TIbBqlHNz6Khyvbs+B/ZMnFP4l5FTz+nGpqo4+V/TfLr6wAo
peK+SOWEG0jmiNsXAZlkry79TAIGvaa7x7u6lHR9/AScpoMOInt9UMtuNZYaABqjuus5qQJYpURw
C4VaNZkFs2TTacRLUgkoVjVAw5itahGHo4roJrRvxh4tunh9qV5ncJHYQYhrr2PiaY9SvpHLDFrx
KpjyAHHi10f7ujxyJkbMT057vOOUFeMxeJ8HjsXSJeq4DKccHGITljUu+PMe9dToG4yUHNP7upB2
EwzuEoM8PiUBk4f3wQ0CXUa9aX7c+uuERrvb8Z9lJAstTlGc4eC83iER8vLSHcBnfHK9AeN7V/04
V+UGVfZLb4t0fUnyDkqJestQAmDwyqJ6eLOB8jg+MAVFphpquxI/xjk+tsO0Z8f9zybvuHs2Ywd9
/HnuSix2vpKkI1diC0Wib8nrWumHrdLF5eeUV9D14HZ8TwQ+BCfAgosPshdInGwCbW38jFR4KC3E
kxF0IE28dQwXzwaOr/JsNVSN+noEroQ6G4+Jm2vIlo/tbHC+4ncimHwozwLZtw83pNpGv1xB8xlP
UzNWdJxszbYO6HJSJQav53rd8ANZeDY+QGaDfw8hTf45i10CRHEF5TM+WKEZcg+nBlw94d1iP+Qz
8yirGGhRrAxXIZQPZ0/WFBGmVHw05WmccMROJx/NrNquIetSu/8U535AvOnGZRHi6ifrMOiRKwhK
+AhY5GsA50nIlRw4puNCfuwZyAlGTNgGcTDbPxBeLk4/r8Rxl1/p16H7qtswRUT6XWBEonNbdsr3
OEGU04oe05cgn8NkAtY8lvgrdlFuwmEGEngBMF7d9yl+KCxwvH7tgZhHMETsoB8qmooZQnveh3y6
JzJReEUekgMUsJnZALy+YnF7ko2Knc28KpZed2zd8Rn7K0LLgHMAXF4zKgCrs0QAS4CcUyxzo6HB
QWE/IcvFSDV1PbiaTpQaoZLkLODM26DjxzQDKjgmz/TkQJRSKNhB2Qzj3OHtaByOUX5ySM9YdOOg
gVD9Q0WGA8teDI67e6iOSK7fQjgyBXbybIgCh0BAZuPWAuFCVloXwArzz7QjCZJeHIbVkWtHdMeo
8nk6jg3I1Y7lplKVYPG9zuSgFxAWEFn3xN64PZtY8VbsxkVPCtUJYJodyqT8M+It1lcEgQJmABLV
YwxMzhGC/880e+yRr6JUqSbIGD7nVeBr8kL9mI8Peb7KwM40XTYd/QkFOzj7E040MkLyMoImiZpy
TAr1AcC1E/p93MHY0jUsC4T7d65AbrN+g3jHrumnjZXAei5KGDtVTZTum/iwU0h8l9rgdPBAT5Jk
QU4JMWJlEoNVPsFl0Vj8MipsXTgQmL79OZLXZ7nKATxCA0tPOIb1I9yMoz3iXxW6I5qgnDo2L2QQ
xyvmHyQPG9Ljd1kSR3hF6MLxQkYA90wnQCEHBQZLgsRW7pAtsoddh0SeBmzUY1dW0/GXn0sWOSUi
EaxQx59eaZMjnEZdo3xQpKiTVMXlo+FF55baxTNIFmg/GNwjbp2PXd5F+4EabyhS8IMiLdPX6x5j
fdMYNNUD4O3jzlED4a0/L5SpCkfaiqUSPb2WwHM/7IWoh1ka+la8Bizxikev6ECC1RCN61HDbSpX
lLaQOK4Lq+FMMNGTge4EY9YOZK+96dPuSOM49bhGYcfjtsyPDRctAudIzTJzbHKZHmw0hG/+WJMF
21PR1xnf5mk6cSiRsHpfJwR0wRH0BBql4HPplkTDLU/JWJT/gCT+hpAAHEN8wApOEdzy5N/YB65B
NYHWSJ/4ssDfVEOE77EbHETdD2tEjx0Ezc+xu2y/Hvf+D9Xdr7XdcXl8CQb68MBCBsnG7yitMn6J
3FYA+3sNjQOoAtwF6gDspP98qd94FuwmGMdiXAsYIP7ND5zkb444V4q1ZEgl/1ojsfDL0qySUfoG
LbmP1V3l/Hioph/whBeqKB7Zz+D4n+/lV0wGRlysnxJGsjIHFI51nv56L8ySFCj/0D2hxyfCWJ8l
R5K6bdCsnvYFqfM/zfO/XxCdJYBM5NAdA62tfgNqga/HEOtD4bf6GQdFJ3DiXxdBIMz93Nn/eYDJ
gTv8q2g/Rng0tMrQH7ZM8ZVMvyPDUAnSbtZj/u5nxHB8P7idkJOQZWdPt9KeB8l29dY4EoZ2MvMR
zyHYi56ibac4j/7hjn5d6bgjlFLHd3cRaLrhvPydPQ1VHLkikPXd+LqpHPI67HFvBDwh5760/VEn
UHPgGRXB4YDUIuLHjQySrGZv7IrK/pxNZMlAJCC0hAahfsXLsT9Y8tAHgnqyca+0p3wNs/8wiF+x
WtQmUGjgq/3So9UOdF6/Uw1zrDkbvKy+xgMA3Z/zlebiyAEUmY46wZV2npp4oiot6kKN4ATqETnG
BmXZ7IvnwcVY3f9wX68Skb89cKB9IFt+fKngIRhAC6dfl3Qcgy8qer5d1J7GfDulmT9UEgYtuM3y
57bPINqbZeuAjh5Kyh3lSa2zDr6HWxwPkAZ1zSIkoIa7lKLYjR8nBuvVchVwGGXLA4NsOvGhYSmo
sE/bCp9Zd1JDSuf1NI1mT3UTL3EO5V6pMmA7d8QnCxS61SvPKHJkv+QNm6dk9fei47aClMdYuEJQ
hA+QkFwhsy36qR2jQWL7/TwRiwhv47V4PceQEpaITvmPffOa24ofs+n4lCJWoBY5zh1n0wgZ1JKW
SEzn1GC6cabnpngg23iAdNHrYSpB2uK5xbJM9r4Wm56SvZ43Vc19m8tiHEz9V429Ik5Dbvp6cv44
ssH4OczvvpbHqVGsFlAGklmRpydZLrjkJJDG2psYfEPfNaOf0PEc6vN1HMZngjyrIg950BAMXw95
HB3V52YVkNLwmvhXLmxkbbkwE4BTlPwFeIJ64LpcWBOZpXMx3H4Eqqb0sVorqBlP3YoOROv7LFR2
X96DMTg4KSQdcZo/LHoDDfC+l8CLYWQsKGQOZ67WJIFPLEGW82dArbOVN1nuXfo5yXzQ5QNwGibf
zlU1iPQ0zFsUo/TCl8B53cBuDY7/NC8Bz7Z1Pt1VgGIUpbBtkAskWdkEGpi7E9Wmt70GTe56lG9V
qcDX9jzeLjQetXuBylsE3jKKDG+up2Ke1McZpX5kaji/D9LsZ863gqfv8rtyQqAYzjMf89Qgbftx
sAO6PhKTMOsjyr0ujfFH+jEXo0CNoCoodWRtVZxPCYDZbilwG6mAKNKJyFbvETWW8klCYT+epz7r
spp3nXvKQp8Nbegdu/TUkqs+Jvv1pLy9Qum8vCtUnja+yvhDAeFrDJDSqvcMi/qKwjC41dh9/GVQ
cvzYxf0CZ0UCp1o5En1BdQUMI52z21LGnxeB7Tg7md/lrpdtQTnH040jBc+kp6dh6c2bfRh1fEIa
qE9liKEpFVs+feWwDaQJlbeKRt3tBFfvKduAeUIg013ZBSZeXrnybSH5Cr2B7L/128rakcNRGeg8
txmr1ptyT6dzYDPY6VlmFB9dhrmhELmfHT7yukQB8KL8Yi5p4OzbWonxInwy7nWohuzMBwiWJQUY
DA18vG7wkSzds/N7+WWM5gy1o5neuzLtT3Gq4xsaV7yvFzgg7yhwobPSG5rfDwV7C7QK7nKuSfUt
AVmDBDqRyTubwqgLp8YcnZJt0u82S1HhIhS0W/DmhmwqiDqbXNmwomK8/NjbtArXUEaYr1tKh+S0
GKmRV/cTD7XFl+Z+L3VWTG3EInUzVZBJtDTRw1tvYRHOoCG4zTadrPBi8uVLPGzyzsOjdLvlybFC
WXawoJ11Nx75031cCHsNuDW66QWBo61E9PuWOEfmet9hm0SdJqNPTq7u+xpFvkn7ZP+ybcOSQukg
IWvc9w0rl4+H3S1ZlGnl7oS/yU23djVccP1DSAoEYuTwjXVkJDdoOjDKG+VXdU6lSW+zEQ4eQIsf
Mhe+xoaxB5pg+9jN6BZYVtzXnZ9s0WZhISda6PlBcqo+BemRBMQgqGHKMALaDNEUfZfJOjKEfgG3
vNQkHefLD3NiGk/6rYdl6e3GgxaN0Lp7XnlYPyovJyiaPQypLFFygOEnHsGZlgB5sPE83xvqS/dY
wTA1NvNuhy/DJOE26uLpA743ea2ltMnbCqj1tUxV2RgVsxtYO+iXrcz9HeTPygLnpgYXZbpmBvLv
0JnuLi+jpa/HRFRfFLpFxG2JhAC672FbH3OXizMCfZ43Vb8XVzpZ+CP0Q9CcOK6e02WWF2vgYByk
zb8owp4dCrPnfZ328rJKGuphnbrvARNy4bow5oS8IzxpVWWsVnQF5yrgiYy5tdd5JeRlReIDl3ux
Vc/VrKsX4iV5Pyi2vNjd7t8NFnhriyW9p5AGXGKcFNC7r/oJCQ001262d5HaxOc9XuYLGRMGxRjw
ywceYoqzzCMixUMP76rORH5VgAlo5DYPF5EZ9QzNGcH92/QmiWdyHnKyfQIQtD5WM1dXSRirp2lS
+223DevJFwi5qLum/mGmsb5RhrrHeWPqvSpL+pUIi+CQrsE+0DBh8wBEeZMQbW69Ktx17zxZABTA
M/v/dorvacmfS1Biry5xHPjdFTZbAb9apKGtgkF8rFh2B446IY2eqrEt9zATrHc1n394wgUw38ff
/eBSG9qhmtv3u39ZwbtoWt6jNwXs77yb/IkUorxKQDI1Vu70TWk7AihYRd8ilkIbdxcyuvdVEyaP
7BnWGWCo5Z3IiC30KUaL51HXYyXZnYtk94iyfnyIaJg/jFp9wXs6IIt98gG+XtMOphgeYP2FLDST
SX9TLTL9bCIGzzacMPE9JEjmuU+tXS88HQltKp4Ut5QtqjxX8TRXNxMvZQsmlu61BWPdltU+FfWw
68rWE4GNYInA2N+GaC3gys9jp9XdWlkwCwkcW+56puv0hngavS3mqof9zSsOi1Il1buh6y2sueMS
+O3Ui6VvIzVnUGoylkQXOKq3/V0oZ2X45Ug94vawwo6LwKwtrhM3AkWgGpukQObSZJNh9h7l+bA1
xCTde1fsaDIAT0J+BxkhS1qXIEW81aj89IesR7mhEEeUPPxGsLzNkDtdWZ0XN1nq43l4v5PADnuk
X+PK3KQIdvF1SQFBX9YxzKrldsvMUxV1YoCGphsrVSt47kfRRLTyTz2B7qVOOR3fLiGJ9otDZTM0
cbGm8Z2rBj83qQJwfF+MCKcthHt7uwBKuRlS3Tf40hNxo6Pgt+HNGKK82gmmf4791AIYmMShHoNh
fHqjNR1KOATzIR9TILrwvJyWEnxaY5KQTieamJHfCQ46sJ5m4IrNrj1MdWQKYBoKM4iruafZcurA
TN2LHrhcO/jeX5EO3+7e5mXMC2Awg0quRack+C+TFaFOHejWXKf6IcoqXzTTwOhWF1QQYD8AiT4k
MlLfbIXUhCgZ0suysIScOrjhTdoghePR0oBdh0TO1QXP34WILgUSM1OGfmwQSTVesMRR7/uvCEJr
mZ+4HGWddSvc8icxFUnBTzL1S5bdJ/CBmGewhxO7GtaSfums/bzvvHvuuPzcVTKDLXR105ODOuPE
SqYuMQ6PGEEiV+Bbiv12hLn6QZEeJk2uqkaucpd1AfmorKcpm54UbKAtWmCE2pQ9RXy1evqqO7af
i2UEb9R5dg9Kq4ybxG9ubXccNvSx2jh5KiABUm0PEyASP44FAw6+d9/QmEa8leu8laetKLq7bZmX
J7PCPHgyvrPsGjBlB//p5KvraRlWmKvW8SzgbgepHienSvPlVrAsuk+Fp7epBEu2dBvY0gplUZum
zH6ZTWEuu09T9IcocAi36BKCHgAyyZcH6BqdvpbKMTgTXeybVXRDQ/PNSvSpmBhcDRBqmustx+BO
Aajq085U/42BaF0vAwidVmFTunoPQj3glMfh3+dibPsB+QVugb3DqYM+G0WVN2aW/MMAn9VnQD3+
DNlNdVniajoXshgeoyFWjZ1y/jGep+dxgJarQ+F2LlI2fFpcqhdYfpblE4mZujHo6uNrpvxQNj3Q
uBsmYagVXQxItfe2gdyPvBlQltxYl/RfBSfFZ8G65KNIiLuzoArbTK7LNQFG+QFobyqOmOZlTYZ4
vc/RrQN5K4LjsQjpVyoOOWCY0bWkzny6vSwWHWlOY96DeQN6ueTXc4auJM2meq9BbuwL0KnCDUlD
RsSROo/6Ibsf5Za+cM61qNMR91APY8HLRuBzG+AtWBM8yOx6gjm4aFHCW7QGiHB830xy0X9IVG0c
5klC4s84eJ1Cd47S2Ss0H8hbLYfoql+z9Pkgqs/JboWp+xDBX5X54cXYUuJ4QOV5XgyDnmlhGbkD
V6RuZYCKoVYdUpo7vxn5IlLt+2YDrmXhrhz9V60D9go2Jeo0IwGbfbOgSWwNCsie5sGSG6CiaDnj
er8jmYec9TuFtJWdp4LrWxpQv9UR0hHdjmyNslO0TtAix7vNPuhtHD8V0vpGbGRrxzha4wfjiuQJ
dE5ZQdeDHK7OtePjxSGpukH0m93Jr5wPSOXQ+6aGbCBaHgh3SdQYdmjpwhRn8qSkhfMBEggsooby
iQ9U2HMHjQBaAolmEEjS1OkoY23DwtqnyKnJzPaP82Zm8SZdEpimUVUwgZBW5csuG5WYbgyXKE6H
mb7JDWFlLZK1J19GCD+jubFR6Qd2BkMjfHwv+JIvVYNq28Nva3Y+baYpcOBmoYUvMivhioTKnIZ2
toFN4jaUDJAObPgowOTjaKGPJbWH/LwyZ2Xk2n/sOkEXGD+xVYDbwyVEZlVbeB9zfe6Qq83Xhpto
+nNbN2+zE4eCaZpP2Qpy54nFKcD+i4TUSc+tCjSCW3YwUuA50AiCJ7RAMQags4X8HsP/PsEzGGMe
t2EObSW5zz5mKkv50ys6GMkD4dZjdWBxacK8vEUvhIMrBkF9AO/Yh3vxraMs9vkFeu8d+21Ntqr/
ZKTjEa/nElJfdDkRbHDoFaIQjvUHwwEolHcaCaV/iIcqhnvcdJtZxWUHnYKnhSNvWIYXUprZTm02
ahPmW2IwvL3uF9D6WwOVBZnYE9GZ7NGVA1LTntzExqxhgfCl18hxUDt061nKckA8jvTSCshe7lOo
h5C6ywoRE11IkESV9NLrYgpBAvazgO76BhoeMzp66mZPe9jUHSQeFbCDeSnvdqR+5YlFY85Au1hW
SVMndK3oqQg7oRcQTdMHWZrxOYKcA+bqBaY4+ECxd06QN0zf4lkgy4IqnytxWvINHXqsgjDC13u6
gu3acxN+qP9vqr6zj9B+2SsAj/0dGgChRUGam/shCWE6STJBHWQrMI8yGp8G+GeLa3iK96Imswy0
9rMT8+Voq9VoX0o3wzRkxTcJizcaFyl0JapznKOm1WQP77Y+ch4JQjSekIGiQmSDzLKLyqmeWjaV
/iVCa4gg66Rza/KuFL3IWtfP81eFNnuq3gaL0mDeI7SuidWQ8BPSCbVdGZ4J+62L/IG4oMsSOg3s
gndn+Mcsi86TSUqoQVK0AmhYTJflREO8XSXbUnwa7UgBWBYs7ZYGgGKfoUItAqy2ZR6bNo0zoz+C
awdPDxUqZF0NRASrRYKUpBCyANx66FB5o3vZijz83oPh8bUjojgVIh9vom5DezJIp2H6gJhLTtAK
pMFsbTlnFTiQSPML/BR4MIXvoppAzHW1ynEdGgPA7GUHQ461waq3JooXjHOX5zyR/jHgYbe0YmV1
GkDmf4+glgF4OMjuLkIY3j6juHT8bTFM6si6SNpfIYPJbxQtsv4FIZKEC7F0eLc4wu4hdOy+dSrB
zJdu99BHMQNkZN97X8s+ds+lz8yjUyPHEGCvAx1ZTAuiaTHBRCGy6l0C+LBoqwG9ZhKAFn3rIMb4
wxEKf2MmNno1U7R4Wp3Knlb0TjvrdI4/5mpDJ4YCwjeuxh3OgW0PNXxZ4QFez7RvU7NZmM3GGRL3
qreVve5yuNgh9t4h6OyY87jdajy4eFTDjZyLkJ5BSYDYiwkMj21niUXojeDD6GstC+jZSLetSArm
sN0TI81dlyZoVRZnnSzOYN7lewcjOnTDesYoQT8Xn6niZVdPSMDfrNGR8W5ohTjXyKlDX+eCVdA/
iLXnLQ70AVIfwCWP8ICnW73nEk2ehIWiqyXx1J/21eM9XQb9FnQKk2wtkX+6jc+nFJ0IGqez8KlA
tLC3Xs9KtuNqy3dbprTB5bJsRUHQAwWa0uWejCy9LfkoCuhSGGzzKmHVbRTx9CWgZSHabMntEeKw
oYHoKP0Ct46ZIZssqtD06CCnmsLRPrTGBfRVGlWp2cnwvhwRfxUZb4ckDdlZ5y77EDEu/QOQK0EA
BixTqEc5JZ/gIu9CPYH5f1ggaYhPhcvQ/2WvUvgSVhZn02lKBv5eZF459DjA+WyRn7ecqLU85i1/
44gDDE3ShT2U40Q+rqD1u9qi3wPZpuWj0ugehh7EwB4h4YMyp7NY8qP61EUObcHE5qMGrVySe2Vg
O9qAu3yeOxNdqwGbulW9KN5oo5cbna3woKhC3AEXKK4iFpcfgBijJUs3d/mLTHdy8jTe3lkV0mux
LTptBlu6I1uLJ2g1ZkA8xbaVVxt6HeTtXkVInKa+Qte3LLXjO7h4+1YB3GoVljptVpKZE9KX5HYO
C4cYzSUfOQv+Y8V0UsvNxLB0ZuI0lSP7E8LguKUZ1c8l0v1LQlnyskBD/jHGW7I68pg4iPY/wgtU
3nuwyhdpNXZdab5AYqwfpYkDq0u9xAn2wf5YdZFARpPQ6YLzQM0oMzbSotvlLVA09FRZU/XHALCj
LT0KlRVNP3f0qkmWD+iPRp8GTujUoC1adC3ljEYFNaR9gpCvwQD9VychgQepFxxQYrItSFe4qz6i
okWjkHeKbgvN3uiBr4jyW1keYhi1wtsBVtqHYVrBNYDhWt7QAO3G0XYGbou0JUvsNb+ODUe3i2tI
sYN+Zr132ddsRi+/q2Ep0aKuYVTFOmpLm1GnELwE5BNw9YCQH6qkz+MWSq9kR9pYxgGdEkWuYn9t
ggeKWeepz86Uzq78nM+zRlBZpUB/DsSxjMdZizwPxHgbhbzroKCgEPVA/4o0HjKeAI82Ng2E6DSD
9pDL5Xu8RqHYWrCgUIadNumC4BCF9J2APEV27JCBYw2uoEG6odvRg8GSUqOE6YnPlfqwlOisOKD3
Rlai7oPpp/fDwzAsm1nazeE7S5JTLInZ1hcjdpuEGp8i+9C4hSIlq3fJERmuGOybQ9UAsT5GQvMu
rsYL77wt1j9M1O1pVvesFPgb1OxF7m8jvaFgvh3Cxsa88XFVFvb8n+m5X6lPsIag9mNQh4eTF7rt
w/D/d+obUFmpY+j8v0+LPAgN+ypeINmswIBuBacGWiMb+whWhX4ARfcPN/Ar/XzcABhgmHfRqQos
IUihX2+gzwJcRF1ffBOvNzC9SgomUY1YcdECXuyV7v2/rmf/0No4Q2vhvy2Of2t61nyBSR9lSg/d
/796Oby+62czhySh/5MQeGfiw2ad4SuU/2rmECUpvrEvBpeOTfTDfAZ++q++ZykaWYPDPbrAw5cP
k8C/+p6hBQTBBxZ/NURO/puGDr/5S5H2okVACnUTtBMxzD30NyGHhupbrsb4h9mhS451OAnrBT29
QAkUzr7NoyzcDN6it1kcC/0J7Ubss6BoKFVv1bz+8bfZe3wluP/eOSH5dW/9uBuKhgXHEo9BzOcH
Y/83WQmdgxQVN/YhXefkoRP7zGpTLCjovdWQvFpHzafCyqPP7VTqtYGKBkcBFLkF/V/2zrM5ciPL
or8ICnggNzY2YgrlySrapukvCJpueG8SiV+/B5Q006J21aHvipjRjKQmywDIfPneveeye3rlu+h7
/YrfEVPY5rnxBeWBb+yU64TfDATB00+eRXN52n+Y1H9YVLBUoARB+qQDmv70jhNaEyjW+jOS9yha
uwj3v4zAD61t76nKwSI9Gek68TgDz55LaaQy3doV7MMGLaGqf1+gPUaQaLWzphVdcRoCT8msrHUy
tLBVGl9nA51lDjjdmqGIeIBfc4HI35k28C7cU9LGY7H76+vw58vAEqN7XAiXewPD0x8/lKc0DjB1
3p0xQIMfjXzDXNmZya1Rl8N0LSfQVXVo5E9//bJ/XNgcnTYkjhiPmETuRf6yvK0frj7Nrsiuu6g8
l/5snJEwD2cG+IjCw/jhr19pWSJ/vGrLKwksVYsgCBOM/+k+q0skcA299TPjWvsFD0ub78LeV+Yq
q+ON3qCuDSxd+VXAIE4WP7tpPut5+JRYPB0QHbYLS+Xzy6NhSthAmNh4TeZgmR+clyxf3gO6+m7D
AaBaKZ1Lv5N5IxnGZZX3jQ4Clgih7MvJpQcQWDKlu58yYf9C19i01rGv1LdaG+u1rjF2gB2H6GoP
/mcefqb++fOFwovFsoHxGDMce+EfL5TuDk7pOKF2MoaweEkonCH6agBv7ZWl8O8eZZxkr6iombXO
DWpTNvUk4Bjife+9ea4CFUceJVg6fkvQKL6PTh17x7++xIiQPl9kfHPcREv2Ge4cx1usUD/cTm7r
JzqCY+uU2gjThL/uoRbuFgOO2PbjMKCQbPSbEQ7wAO0j9mhclbvObOtdbtc4xPOmuK2h0kwrL5fR
o0yL6qA6CqvaaeovEJX9dYiEMhiqNE0wJ1ocjcK0K8+y1joOUtTcUWSIdMWJHxGROcbFnnlKfmum
0XXEfGxa5YPXnPuwue/NQrPW7mjyRSbKZG2wIWqvdOmnl3ns+M+hTvc2dn0DPOA0CjhiMVUs93xy
0PyWw5FU/rw2pAPMNp3e6o5Z5IB+k5Nj0XvbsGuGA5QT877BUYu1yNOMBM5YFr4KHFe0MCF4fR0K
5ug17dcDAuX6YDQif0/G2uW5t4rsLhHh5K1GasdjG7ZDoPgeqOZNccW8YIKa2DZbw5iMcZOjZWNg
J3GnBKMZh5uis1q6ouIqhiqsg7qq+j1bjSkDVPYutb2XP02FHl+YrajvHDpSuwFSromCs5hffBf4
d6dP6bwdMz/aahTVL7TW5XckULUTIFjSh1UZmWO0nfq04uGQcqOicfC3bRXG67y3in3JH0WVaLcV
XzQT9FXapalGX0Qi7aqcaV7ZfR4GVq+VBQ0boIOLfu1GWoa9TroWtUzKndRvrV6KbjdZ3nTp0kDI
Q1R3TV8UEPqWYdd7HMamOT9DRJ6W5oFoWcqrN1MVaW+19DKHodbPfdajKaI51cw75FN9iA4lQYqQ
mnl1p0N1OKTKsoZg4BqATWOuRgMlZra5LsOQ/bDPM9ls4CBEetDmvRFexY3uoizIlCfjtZpy0V+6
XW9xR8mwMjoZDOyFW1eL0/Bq5NFxo6Dxa879hgXGYVvmSStWFN20XDbkAriBFgpDcB4IEQ0jNgux
FMQCIslW5l4OoDSkKtg6ZVTMgT87rJglvOAhKOJWy5ErqKi7phuGGLeKEv+7Noxeoq/1yuwR3/iD
f3aYAIbH0vJ6z0mDcuqaWe07ndWNYVUUe+ipu3FutqLtymSrcrdQe73rwII6Jg2AwJscle9a3FQa
GDfbfNTqYjbWtIOzYs1/de2K8YiGGqIvy8e0KEQBw1D0+SZDqXs7D73FcJ1WmnERy7jzSoZrZtzv
wnasyzs2Y+vIycbMtkPNO9hUfR7NG9+YZg4kqarlqfDRz2w0HpUWZZYxHFuoXfk6Cq1oWHsYO0HR
ex31SQmTaf7GIVO4zE96ZksYdePmYOiJvaeSz9wA8VJjrZMqCdfzEGacimVbC4xnMrUDC7XwTCMi
nbUL+OX21qhDFAReLLx6YwBVqQ5xYshokwk7BgzAn1sZgvYFt0+EihJoKU1f5hXa15bzusLiwHNk
no0ZFkuy8kdbs+5VLs3h7NZCVeuSc+3JGUq2pAjJIz8gaKJbW1yARvnMJKSMjw3OqAn0nDMnFzi7
ocenpvPiTCENUd/g5sURgc5t07lzwptH2YUe0MLSHnA03CS44J5zKaks0igd7zi2yde6jS0mIzIK
Nz70J2a0fsjvcfIKH2TZjsaZ2ZNl33S9Y9wbPROGlXSxWgY97rFpg+cmTfYtIzxG6R49y6tE88RD
qTfLzZmmTQdZu4u760nZvR/ojeTaxLLkjVVoLowLdjDxwOGau7tglWzXviGm6tB3IjSv0xZVza3p
l8I+THYqh1M/9UvxGavp2snICIHCWPDSVTXPDAfMop8RhnjLh1/eumR94n3RWDrbTsmnGBosE6s4
q7I5EBk00qDOoyy5KTEJMjSF+vkS8e9YU82+jK8aw1b0Oqw61rnc+LqHU6HF9A0TfWgYEyLYtjZk
AqCj4+8ZavOJWEAYkix1cl8WD4xNxBFpbuKv8Nll3BdMn19kyQyAWUaqbq1+0sH0UuamF1WNq+rO
Z7fYdaVunBsRNc9wNFzAiTahA8cKtv1wAf6FnpVqvYbhJorgXW3ytS6je/WW5ZlzPQ0dbd0GlFP2
KN0i6vaMS4vv+IiWNSRp8njNOcC3NglqtG5bg9h51PSwIAGhjmgf2yxzqpXxbYLq8YKZVOqsHbM1
MTjkjs12FJvioQUzFG1ys+QxAeVuiYNN6ELzrWBBVkff4JbaoHThHkkdBixbRi7jhk1GNhdGO5hu
EIq8H9lprVGn9G7Sr61ARqgpyvTjLPrWeEfWpjogcwB2Uc2Y/KqpMBYxlISLcqi5LDLQaNjg1x3H
/jQpj2HC2DUr3+v2dkFTYz8TeoLqCfUw0NQ8q6pT6U72pdbTsN/ETVmMFxGG0zjwna6I76lEuncd
/SpKR3Ct4yqLO5D3Qo5+wy6gmrucAX/yZFSz5Y8rxDiZ+lL3aCn4ZQiANjF23+iohbV8jSNdGzH5
EZNwSODK3EydFs67lhl6sknmgZsU5mlqXU9ZPjvnwq2XQX096u7JNuIFmEp1020kugIkuX4JwJZG
Y8Ha0XX5xpisqV2POYKc3YxXm7dqTyCTVcgQIghrxuKPtE6N+zRemPjsdOKBe73orku4wyywZi2w
ORUxAodpeMbHKn1jlWWj98Vhki/XEm2zjdQqB1/QhGCa2Ny5ozd1YnE1OTio6TKx+qy69No6tq5R
peTuAVM586ZkmrTolLVaLddFx3hvRTU29Kc8D3n/LcaxbRf70E7lpOsH1UBtRiKCfBk4SuydPqrS
fzopP+mkcFRY0FX/hjH8qZWyf5EvSfJjG+W3H/m9j+LYv/jLEuZZ4CAMx8Xl8SsUE4ea/osJHB6g
AX0W/sh/+iim+YtpMUkRHC5tJKs+JxXU70tC1ALGxCjj6xw2F2OF+Ft9lE+HjeVAT/oPIlTMpcjq
mOD88bCBxTDHCBaZd11XM8uEctyhTjXo9wRzXojL2o7aG0B+7VvtZSb0hUy7NUWjdlBkVR3kOA/x
yU9uSfZMLgFfGhirtXqD8L9+hgPI70H5QDGnjVXCXjQhL6JnYB2qeOIBsk2U6kYqLk34gtexKCXS
kkztYLtnt0v1sce53a1ilKTfGC4SPBTb0r7S0G5fTZR+OVD5Xr6IqFYvNLNVso5ivrYghkvBQ5K1
aHdyvVlM1fXrYMbpSx9Jdc2KY2A7T9Wzamcsb3WUeQHo3P7b2EYgiOvcPkQmy00Uuzds2AlK4bwz
v+BWnLOfuJ8+fD7/OdR/XAIsV5zrBW0QerOfDvXFbNupFnbu3dyyATjY6RbNU+uC3p00aEHMhQFh
m4W4rrzavCylyUerXb9ygiTTx90cp2qD9686iHkYT3OIENwc7OrdSDLtEZxCdxsrbdo4SZqeBljk
Mdso6GcWEn8XxW29HTo6/77ffulzi6SMWl7iujPvAdvvqNXe08ZtXn94SP6PjtmStPZDJ4MPjRFr
uYHBiNCKdj5DeWp6iFGoU68ytgqfjeXqRzAknmg+TteoaFug3BY04VT2GzsukfYyTpi3HaFLJ2RX
+mudGXwNwpHTVVTa2VFCC70LFf+vsUzzG4QJ4yLSTHkVD65xSdIVxY4fPoA6M3cC7sJDVsoxQMuk
75NSEr2ikRyWjUjjFClum1kvuKetXh8v9Nl6L10Yyq1p7PshdPZgJpntI/ZfJ5PKNpMjYR7UIt46
CYJXkR5tu5JvSVxZK05w8q1uCU3wVN7u2x5cdRjHyBxGIkISOd3yUGZnjxA1nqMs2WfWO/PIFPp/
2LrdOktnxPl2VAQMDKZhnaCcX1VeKnb63ILySwbEo2U53U4lV2lB8qenIraaS+Xn5iOz0vqbT0MA
Sb1sF4Eoo+39NHuEPcXEfompTi5yWo+nj2rQL43xRIG1CBesgR2zied0r9qYWcZsR+atlvTTVYfd
9JKxNUP8mdg3ju48m1o23xSj7B7hNTSvIsqiSxtSfKBH0/QTD9+nNcvRqeMWQKxlgZbgWn6wYn5o
kJgI58j58bTbmJyGm14M5U4zuvxBTdJft94gAvgy3DttNb9Jk2QKvB+1ouJR8XtaV9O5ds3wSKJZ
8+g1NrPcONd3nCmfJmGTMjS4xRcs5gKSWOtweB6tcpdz7S8r8qegvXOa6pwIuVxRmbeT3mYYkRUf
VQ2aOtlxmAQsV2o72o65LKhVdmydujc2Tq+Zm6Xo5XcyOjy3WTXffNy2ddqIIElcdWobx7g06ir8
XuW+/uRrRfdIekX3WFL+nZMuAShe1MidOC6WyWupZ7umarUiQFQ0xCtrGNwdPUI0DgiX/Stfbyq1
+etH96M1/J/1avn68VP7NI3hLTEZ8D61OyUiH0ZYbXhLoUfCWW94xkq1jXaX4rg9tUaKVM9tOu0+
VckYo6irRX2a2jKedtgS2F4snsEBjVwTHn1k3i/Z6GLbEQ2Fc8DQOnxubcWH0c3cODTJoP3dNuZi
S1y2V8M12ZdN51ODrZyzroUO4N3m7txvptSYzmQ9RdvGDZHkdSXrTMic9NoBxZmsytjRNi5QqRed
0fmFId3wO8+excKsqhdr8ohTkVN2jM16CAG3+eE9jNzlhFRGuf+TFubHfvzpy7c924NcSUYgY49P
7524A9iJtnRugew55Up2Xfiduzn0923X5g94yOZTOnXTVe6N5a4vlmg9syzdg18n47Eq/CSQ6AAO
uSPbAyQw7b7n5LIDY4MiuW2G8mr2u+TSQ/x7LVHEmys8W913BLPQ9ERiAyiVw0HHVDIGWTNP18j2
kRl5o9cGdeowsEbxDJ1pCB8JA0v3mq/5R45LJpJcz93mnRVta1jYz61L9ksr0cAmSAjhtXgl52HT
nL4ZUcd6ZRY2lX9Xm8ZmtmqxtaoMelC7R21bNnD96voAmjp8Lj0edWqC6frj0QvR3r63IcpVmkz8
Q8R+4XFG8Xabmx3k7gI7XCDMJn7X627GeBKHz9x5aBrzYllBlq8Gj8QRgMt8snWAHysbR+UtUBNE
B2aR3euoEkg+a9zkySvSN3Lf0L1F8XTIJNK0tjVHtCC5eRnDx1nDFJnOqTGzl/z1U0iR+IcdlMdQ
QAXS8bKyZi/l4KeygbW6GLpsbG7j3OhBBOk8YAjaWJtz0IMI7CGWgi7mA5B5E20pxeoX1+znm9lg
TQIn3h1iBP3rGC/gsUnyDnxPoSco75EQFuSPlduergePq+Hpr0rqaNqSvn81pT1+GxLP1taYUwtv
zSmkSnYl5dhpLHtytTxdcR/YJe6wHDFMvsVHQvYFpoJhD7F0Wqu59uhFFF8mWeG88ED8QLc1k51o
XO0Gkp2Sa6QYw3vjsK1wf8Xrtmqq/WTMGPZ4avdeniwl53Jdyd3oH7sp2ztaNqr1ZCbzRljq0UAl
gYDBRyCiK4xsKNTKnYhsbtbU7OwAZrz3ho21YJ41ZsfKSPU9h3t6Ri6Hs93cmHF1IhvPRilOnN8D
+0Dy0GlE0DDll5aPLbNIH1EccVbLswbIaEzdQhyexWoA/LqO31FYGrcaw0kKHIxrR92f2Kq6ApU5
Cl7CjOKh3/RTXOh83IwlL686vqhOYocA0DPwGKjYnMPAdxGvrPPZKO8jUF4HpHLsOrORWq+xFSI/
iAy3zlAR9Ev5I9QNUKBK28z4GV6LvGJd7ZuC5EVWdj3Qytm4jByZHRU3gr8CsFBdYC6Jq8AxLGs5
lyf4JvVhvgF6hjDL8NLptqW23NNiJjUIz8b83XQz/+APs7bJB8RYK3xWKIT0lsQJe6TRD8s9Ia0P
8ifaF427MIHgUiGLb5ln0HbCqxLqa87B+XcQoLcAGGmNOpStKI1hsQW5zIqzRyP62iw8GbAZCL4Z
oeabjwfpn5Ptz062yyDshzXnTyfbi5eye+n+cLL99Ud+O9kK+xeH0bTn6JwgbYb9PygEdHQAjm1C
Gliw8R+71O8KAWaKv51kLfIiUL9C5TQtBkAchP+WIuAT1Rl6BNWgDpHVABTIDP4zBbFhEAoFe3Iv
ChMzNXxSz5Br15BKYpTptLqnK8fDRM4Ren+EbVWpDMSfDgZXsZ4RDRt3OTgA0m87ZJnttNHYN+xw
74eDgbvBGgk+9WjJ1mdoHhzotrRHC1ueez1LWHpRt0ik6My2wYWifC/cy9FuujcAPze9zSQ9MFBo
o1V3vW1uC6G2kNbWbCbqTvNnHsm5j/FONcKg8Yt72EznnYmEVr8sMbk6QdrpxKJ44By7fd74Q3PN
qTGDWROK5y6fLXJoGJYZ7EBjWl+4ZUuPv1LiSYPOXvESyp03Exs6KjXPw7RgYXjYWFXiXxHR6D43
PIVrTVTya4L49HompQUzgeKM2cbtkvNmTj0Ki1jzV32l1bsMHNghxXj01e2c5snsEAuu0JqKt0r4
b/mkzj464GQ1ZoU68JfwNA6udZUAo98TjG1s6NqJYFrEl6vREs3NkJa0InWl9HUvo5F9F5lSgX2n
glYN71etID2Newrh4hrKTffAuhkezFaR6kkH90Z0pjpqIl0y1hLom7DGtWTP7pa8cz84Nyn4RWsz
VqZ2FRelvwP1RzVRTQZBZX15H88evF1/qK6r2faCEYZmFdhAik+2MzKj4fxvI5jGd1LZjEkgPVdB
gSDkMGKl5QzlqHGdDDbJo2Y5bKg/6PFr4bS1JE2M3CYVJGBLnr9qWGi3fpJrO/iU8wHe3PxGAJt3
iDujvkNwHJ5xllaXFSmmxc4GKXw1DbM7GgbdX7tn2V39/r8kWdljfNIck9ZNkOiFh4u1GYVdtscU
QYIsj6RVybxae8xqU7E1W42oIGPRT2Le6+S8ofwx9Ld/VtSPXPqfraiEY/zVgvovCO5V+fKHFfXj
R35vFeriFx1hFWWdx2z2Y9X8vVWIGouF1P2VpSLQZP1bcmV5v9BB0cE3/yeF8vcF1viFVB1SKzyk
GkCQ/1bSJOfqTwWn8NEiGAJOtI46jEHrH1uFRYPQdspcCdiwBiHBli/7Ii9XvuNWOnOX0QconzZe
Pw+7DHJfoT8CQkAwmTE86u4p6Hv6d4s20dzkbdrWkmThsWxq/45ijmY7aQVpmRDLVUuqx61NKEKB
G0OofapJqaHvhwtUjAfsGUVHyCxmjLKvT2Wu0hJSYuIzZPDr8tKBjnKsNHJ0D+lyqFZ2GN6nVlND
fnCftK4ad7IavQW4ChTVSevLtEAPSvrfYNAhWdqcbjKXQRIDBWOCuIzbAFSLjcR/JNd5OxNs7ubu
dDvjrnnhQICjouy78UTQBvMLhrFyWLXjMp0QVqTnFMdjvptGyOZr5C3JgXlS452F6Mc0IGYSLLKm
IZ5xCYLc9W02DittiWaICzvb12Ert+ncejOehJJfjF4/pMwcw/HKdMLyuSfB8FaSfTPuKvIg1zR2
xmhFRxS3XhdRincZUe2p04xP8OXUQziTNRu0UVNPh6kC/IQbxOGD4uQZzCeyThoQqUaOpMQlupzg
740b1Y2x6gwyHenRLWQIQB8MvBFWJZl0Dm7YeQ8EBk+X5ofGIPnQG8Qf2oNxkSFAEUeR0KBNMD9U
CtYiWHA/tAtjunQ3PxQNzoe6gSgWlA7IRsD2onfYg9uK15gl0USYizxCLkIJjmRoJtSHfgJzG1oK
GkDyuxcm+ssMSGmbOTyNJF4n7QYZgHopFr0iI/kCgUY11XcG++MFANr8qVqEHKE+GjKotagHQ83Q
aW223hXAO8QfiwwEyRWUT7S9S1j5h1IkivJmq0baQLHXiqvJQVLSLOKSYZGZxB+Kk2oRnwC3hmXg
xEP+rjO0P0B8Mg/9IlghSCv8ytOAigWuq3gNixFtC0qdMdtFfWPeh3kyHGRbeFv8hChiRBl2d1gQ
3vRFLjMuwhliVlSx4glIOMwjdgnUh8omWgQ3hZvbx2wR4fho5XZjF7vhyulmg6D6RbDTfWh3OlQ8
wDbac+Pr8ysxrOGa4bt6GJK6IEt0UQBpGmnQq3oRBo2LREhVU3luHECwlAKLhsgckzBwFmGREYfV
FzdqejY/QWQ2JqbHvlnIENgY8ttsESgRkQn0oC92fQUNqPVCe1jBGdRvnLhBnPOhc6pK2yTYwgmN
8OLDxEXfur5iCCdQ1uj5N6Zv6tAIEm+mBXU9TkqsyrB/S1EmIFKQMnCw8O4X1iweT/NlkuoR2qET
lFkkprUYTeJp142F9jFHeNDE9eBeS2aLzLpXwA4H1f56YP/nnPGzXVHX6VH9/wO0f+Uvry/FH3fF
jx/5bVckf9lnWsDmZzAaQXLMtvPbrkgAM50wpHLIEl3aeT/EylkOu6LnEJiJOpih5zJ/+H1XZOqG
glEw9HIxIuP1+DvHjk862mV0tkDODJNDDN3Ez6L21KhNu7NsbS80jfTVhLTd/SDs7v6H7+T/mJd8
Ui5+vIyHO0rwarS/P+fXzUbXKmb/2h4qmnEPnhvb0qD7V4UkEegnraVlH/+hxbi8Fsk4BI4hqyAy
5XOLkWuRdmK0wr0yKnGlu+14AkJmHe2ZIQ06h+RndHfL+PPHQz3rGo5OOoNBjgoH0x8lj1PGEcLw
2nCfkOqJNKWp+ksgNGyzbOPMuXwhxQMNacvc6gPWMWyhRHLtXHzj5a5xiOV0xtGWq2EqOd6kSbtf
ZmcspqLVX0viZsBVdIIFOhI7Obfs9a4yA9Cw5RFjU3GTZwT35FrbfzF6tyQ1l6EYkWLJOVR9crYj
wqHWVlTGOwRtxSGJOmjzfVfcmMBGvwF1mh/izG4fvDo66YNKNuRvomGqmS3NppWdbNt0/SBOreHG
7Ibi+2zN1dWMEvaLqSfpqmR0unWauMQQVozoMku516uQlB+aUDt/1IH4E6CxMWIc7AyUugvP6Ktz
W/sswKizXvQ80vakzIMkaDW5bxTel5U9idDFgmJWb51PjKA7EzctqjkeViiI0M+1vr3V0Y0+MyYU
krDcuPUYLnlKgqR9Fo7pqO4yLut065UemiwZcp8Hekyq2Uq3ivJ1aL36OQXl/ZiS63krcLnECDw7
JoY+bHqkXC3itII2OTPfNJm27ejjDqM9H79mcc7kGLpOfqXn2NcDiGCoIODfXyhcyg++molyYfte
Azbg3ktn8EA2NvsraLK38ZToQTgh/YlBtW46Q2+fCbYYt9Wk91t/RP6/moD4v7dFEe/iMn5TbVqv
I4bhpHn7AzbW2YnR8fDlxGWYn9ii5kdkuXQfkZZd6jPM1VU3GRmEhlHX1lmShvpKq4CLuolzCLEB
7EdZdhtLJdmlnkbDe0QB+5oZS3D1HNHw3Wh9Io58Bd06Dt23pie5Glv/ucyRyZMF+a5bk8RtZ1+E
Wj+hGom+iA4PWRPW+U6rfVxLcCGCbpIlhGdbD2DZuyuv7i9SrbVxjvcR7EHdT1/oDof8Ye+rFQ7o
qStXQddxm9tQ0oZ20Y05E4K1Ff1Om1ubp2fCG0dWnw1OzRi/TYWnbZ1W609EocyvPXGV7Mq181rD
YrpCjQfbcO7724YBVgDb7LZpRLIZnPlJG1rrbM6xuTHV3J01NNIbKVx5R9E+0JMU41YV9k0pi0fP
Citzn8CjGO1VDyNEvZVuAvgsRNGMsHUAVJevlE9g92qmVbvOoiKDi2wOiojhvHHnS1/majrQBiQD
kQF/o+urUGMS9ZB1tKSXxKWhkxFfRNWsBzV26b0NoTrq8xX0XX+U957q440wOo+gX2YOQFxC6LAr
BwHqSvR+We7kOLve06TZZAEAxjShNfiyo02Za8rfdimDDBvyeA8YOpNzdDtmzpIawGglOrvN0rWt
wN3J6wjNA43nmjFYTO7von1YmNDOs1nDACKao2RCsUELJ8yHlEOGs23gt3nv3hRzoeIerP2RIHWS
6e7onACQ2Bmiy541p87uxFgku1YvWYarwnP2o84s3wuVtqB4zZA2CX2WI/oLOslyHjkwOFosdk5v
QXIwQ1LEp8nZU/vpHgZhhdO0mIXBsL+K0lXXLP/YC93wTqlBvrlmiQOkNMp6C/cF1QbJ9fFqwPAC
OBGRRN3p5RFDoNj0xcCRqWhCzkKAK6qLxrYR8zEYMraG21UcmxJYBbXog7KjEb6C5kZpSXz4V2hB
BUo/rbybO/I8Vk6pDRhwR1ncTJZdf0ND41/yRpg40/GoYFqIYl4DNs/jDe2f6uDrubjKncR9yQvs
visL/AbSca+40eglYwkCml4GpC/x7xytL74j+CLsXu+n6zwjzh3sU1HdRQX9N5rbFadAEnjcgec2
/1Xs8U8V+LMqEOrYDxXPn5rN/yIB6E/t5o+f+b0MFL9QirjokUC0o3r6oQykEe0aRA26eDo+nGrU
aL91m2kxY2DDD8SkzEQb7lF4/F4GWljVGJ4JYgMoE5dI4P/577fpv6JvdPhyFVVl9+nvf3SAOT4d
mB+rJiKz+A+ZP4xmYSn/KVOQZp7J4WawD07uA49zSP9pyx51DnFZRwSPyCi1igDOSkr1DpXRu3Qy
G8CJbxjytqoGiMNdrb0gUQctgmTrjIfMunc5XkX0BVwygTvbO8f52N2qdEzui84BfziMyaGIXONr
VYeQ7FMvPVIrbwi9bF5ZAdP9hMuC2UuK92nVDTW9xjrT0JJEICPDKTPv6CdnR3zU5UXoWflusDpQ
B315qhwzCdDwY71Ni/hojB0i4KRATF9orrU2tcg7opKAFxjm01VV+znaUF9cqi4aU6hKk3kzaYMA
SZnpJ0MlcMhgjY+rsbKarenRXzAqM3pa5N5nFKDXxgTaIjSNe1qg1dpwmTuVDUgbipXa+o49Z3GE
KAoaYyzNoC3aHqyrYbO2o9Um+xPsQMt5eefkev0u6dRsrZYolyZBC14OVfalsVMEMhOt2F1dTOle
YIlZS1sCTPIUqjXDHB4rPwlxpsd07KtkfhNKqidoINZNBItyD9urPbtWOt2gpyPyABDCFlTTcAEB
pXktrGFaA6XxtvWYjzvPyPgYqF9woJX5fkS2hSHKHhgKWqukdVRgifqC+F7sLYizBpKIiLaoynXn
hKciqwv8MdoBiEC2xsNNcTK2za5pRud7BMuBaWafwDmz5Y78DtrgBLpek6o50+PQUsQIGIm1jTWn
w0Vtq/QhUol49hqXgDkCOsApsUnXo2zuRWgnp1l39RP7HGwYdvTkkbyt7jId9Bx1ll3vsLebYiWJ
C9o7U+6lqyy3rJtZeckpiux5qzyPoSgli3eL6BeBU9k3PtYTa1xAovq1aLlXqqh3wyCd7fxtIK/q
HBKRvYecaV24PQVPUbuAY3wveWqIejmXUe3cYMKf9xMy9TMiYOvClM6Cj6+iK4Iiuvt0XuYHRZcf
Cm041GW4QK5Kx8eDWZvPpTDcUxPZyIaNvN6naQ4IpAD6tJV27FzltbwwY2lzOzbtXtN7EAtR/xIP
vq7AwWXGxqxD7wXo4DenmYpDpGpQeKpwDlUT2lsPA8paeaX5YNnZm5IWE1Ytss1nzy/vq9GaH5BT
KvAhpX5TxS6j6olJ/NEBo0cbB6X+OR4NxwgkaQIvSJ7Tay/K0AXZliXeEHrFu3Lkh6I5yb/gBiuC
0dJoZDFGuUgjLqK0LJqIA7gyH93CnWd1PcAcji2rPjPu+6pEvSjdYwW1oASpHVDVFCVs/jS7Ifwv
v3XCfO8q2R/dcC4PAAMwtzPkBkggLLyyIjl4aPy34JOatddRnYbllN6y2dvfZnBEgZWlcTDHEE/T
2smeQA5PX7yy1m5qs6gCLqhH5kKcwZYEiXLN7BvvjdtcNBwA0kCIrdOnxY7RhH4CRZAD27tB0jU+
aSSPkwplGTepTkBJyeiwYxCsj+dSH9s3q4fGQum9lvrk7SA4YZ3IjUGjBWf5T/hWGwxf+pwnsANU
RWaBiq7mrsp22tRjF1HKwSs3Tu5izCdUICI3eijnjkZyNSCjE2L8Es2KU3yeCVRhdEhZ5jo0poAM
9Qt6oPVJlaG+MQztKTWzltF5RE8syQWVlNtQobelG+Ra8kiZqx9yHfQG3UWGeWlWvebkZVyEVSxu
HAA2h65z/pe9M9mN3Eq77RPRYHPYARd3wCb6CCnUZEqaEJIyk+Rh3zdPf1c4nf5dBuqvqsGd1cSA
7VRKigie8zV7rz0XHpDJ/pr2SgYNufRNpuDvlrTnrWTgf692VtH7NXCyy+hUqu9ExZp7BJ1YIQtM
94vLrXFZofR+pZVLT8U6vrnE6+24EVcfeMh46WKBMmOc5KmTFtEdi+KeikG0972MmrNUpwaGSJrD
iSvqELNVvNFcAFQrltnQ7Brja4YzZGfhtg7byKk2ySz170SeD+fJdOt3YTS3ywVA6EtS5OkziWNj
7lHWI9eRbrwFigXkaIlxGGhRcq9p1F+wxXAXI8d8VAdeetRVa7AsfR12s+6gdLzhBOe8Su4MW058
0BjLuoowwbMiSNgusTFsSyhs+8xd6+d8gIis1TIkEG29R70pwnoc6U8XlIGAehScnUj1NlZTjRdt
jPWDq8XZG6SNLJjoyVE6c92mPOJHgpfrHTMmAt2ypnVfM8tKg6Kc1Jc8YjDByZTso14PFt0y79dB
Kp+1sNVDTUTpBoZfd6elZb43hUL2CGEU13yZnOd4cqKNpjbqYzKmgKBGG+TeAutxYzA2vrRL81FC
1vlU14Hjf2j7FeLLLGJcepMWYI8wPL1Tjmap6nCVSvBzREpUE2lvnlYOIHWLLFWvtxkyd7+U8dNg
Uoh4Eo0h4FbD7a9N3OS7KuGR9mYU3BnNVQsKCl9384Mkqmw/5gkm6XlSTkiMQ1Ccxf2IQW7Xm8Mr
PDDmCNUNy4O1YfjIeusVqiZCuOGHna+vBA8/lBqEF5KNar5fU+xbSD9h26RPehPXB+yx9tNYZ/qX
TE7lJzOg+Wsb8YVjif/p3UoXth0H1NfIIg910zVjv2WvApqV9CksepaHj0018dhUvQD0lSanWTdt
2Djz4Nw3fbNYLx16vAHsvsPkfuKNo6/Qmd4wLfNRHW0JZ6rXbQEb5JzWjVK91hyg1F7uSMxOlG2a
jCDSg6PgnugmqYPeNLKjhs31MLSp/WpiFn1T7SiW99Gc5Ec7MbX2CdpTEm3zFdNJ6cOChPVFxqsp
vznY4pVns4lmk3ENgZYMsKCe7hs7NYJSUZdt61blZrS6r7Shk9fOcR6QqgoDKRZfQW9MOyutUXMV
/XDhT84bl7gPnzX7IW3FaXB1BjeqgkE/gzX7BeKbsqMWeS7XJA8TS7cP3CAkPClpDC461/y41JYL
G43m0vJuHtaekVGSTu+3XJ9D61qK1wll2GrlvADOupVbBAYP6KqN9pim+yzaEA9BwF0V9TuQ4QLR
n5NuOwarrLPFtVix98tGiffog/s91Ofo0BZ6euhVwMhanvtowOsTAxD4pbHdvA2Glfswq5Zt2owp
XKfODXHWsmJJ8yqcIlHPBFlnXGTYbwg1G5zdwIKNOZdebE0UmD/EAIbGr7MabCj7PkP7hjjTcr52
6lDa3ecgbub056iBpNf7+LRSkrp+b03+28T9iyYOFCqz4n8+yse2XbXv36q/brh/fs2fG250QVB+
mL2z92U3TU/4a8N9W37TNTFJhhDDM4wr/pdkSKNT040b8QNDPLvvvzRxNwmRprtgQIgqsjXV/U+a
uN9zm/8y+VYdmxkYtnvb4dsJ9++mBJVTQiUFUTmyrLrpJdgZOsvw0v4hqfgpsMhoJhO5pSxiEngy
sAMSelBwq9m9Z1aLqOPDjf6WGedS0Q0V3QokuViVANwYgXTbIZP9HG0zBylMejLjaeR4Xfmv0bBD
IML3egb6NzWITFGADHNy0sYCflfmTY6teAm1iw8Ll4P6gHoRp2RmTHm6APaKRvVVL9tbqLzVo9d9
JEyaQX+IfWCyrxxNQ+LepWnPCtXFk+YVDhEVaO5KKPH50CI1YfjLTIyI0Ao5/H+fmp/snH/x1CDM
+F9HH8H3HA9Z+/2vT83Pr/njqbHZZfFhZO/DnolVlvU/Qjv+l41sGgb2n0/Gr8mH+xvaCp4jVMK/
e8uYV/yafLA2E0wpVNZfOuFY7Of+Nun43yYf2t+ieXlOeG6ZpJAfxaKOwczfUDKZHBMUzvhKFpIT
X1AglDU0MYPB48xYzZ/ttug3dbPc55W+3pjko8/uzmX9otYbRhklE19j1V6idAA7UJa4yrF6Tt/n
HneBw19O4Usnn8f9fekot9C7/E0oBIsa7KiJNARqsBgqQTCzy8PGi5juosI0H2U/laeZ0v+SS5N7
zxlUhMM4TAGWAV88WJqaBUMFaJi4MBISbiBbKpT2SKSB9KwC+bIym3KLgAu3t0G48N5e02hfsSd6
QAcrDsxO3iQa+pc0L5SnGBkdunAkvlzTMSgAYqhrFiF3IBGdoJi76+jE31Ap80tCq/S0RL8KfG4b
18XFuZgGIUPEJW3VOPtR04ZPBMMCLi1VTAqATqGRNX29aVa+O+qyq2XMxK3Z/RnprOENun5NNeeJ
cfoZ3GDpJXP5yCGineaJVUyelSOdw3T7R3GqluIk8LtEBTy9Vetnhs3xm2vBo6ZQRrRtXLMle2vM
2ySnqh5nqayvGcGSQW0kSZA59bAZcEbjWaFpsd2n2YjCyEZHATvw9iMQj2PyV8NyN7b2aqt3RqYo
wEsypqydm3+plkF80WaMNUaZo3kEPQA8k6EwADh82iqI27W+B0C1glJTDj0hgO+VoPBifDwCHsQR
7ht1jqNXh6Q7mbvIWTGHm31zBwaufRGZ82R1aUVoBMs+DabDiRgIO1xtV9shMncg0jvPSDkVkuOM
6RmKLac2seC2j/+evR6y509FJVvRJ7nCuPbsoC5FCoOEtiGZ0X4nzRrmSflowGYKjRY1SaBXxkOX
9ygUnIh1oZFgz+bJ8WQ6pqjscTOMxdy427YxqLvjWiOnIV3A+BFT4/UsraqLrs3DMaYnJGK6Vcxn
XOTpURSW+ib4xYOObaSPOQwAp8lrWW00B6AJ87pFPU4L+5l9ReOIhEn2yw8yT1Zl6wDliX4srj2d
c70F93czy4U55ShSrBy/TSG1x/+WR/+O/k/Ho8Ep+8/rozM43O8wKt//etT/8VX/M+YWjsGcmmMV
ITPVzp8VkmvjCb6dr9BtfzmJf1VI7m+Q1YiUxVIGgOr34umPw14Yv6ElpnjSuD9ufFXzPzrssRn9
45wbwwkEN51bB9+dhuvkb6e9kWQuyMdSPZa0ITfBDsoNJSCSheV9T6RnmAkDlvtijHW7mRU8fKFV
98b3mckhHII1Lb16WDpAAzgrKq/B0PkV+JjgPHAJxgymToPApMfPxTzYfhpb5tdRiP7cqJz/6wRR
dZNWOJZ5BBX7TPUE1XO0ZrfeKgDhMVjK8ohfYd0Vs3nN2974UCYRLUe1a3hu2S30p1EikX02smiw
T91KThT9lTUNgIKZ4X6TK9qfUgf6GqFrBINeb9almwJcY4guWtXwGTcNr5M0p2T2hrFQzpmR4nxq
UGrVtEtcPXGE/Ns39BKjTZ1H6bNGRI1HEG+5+m0qR2tPIdx9s3G1PFpi0PedDW1Yn+W3vHGXMLVT
EO1qgzZgHHV9ywP/tGRGds9sKJI7/ohxXmzJbL6fjXQHELcnmAIlR9hryvuM78lzVMD1+7YjYGot
XSNsAMGBeXUg+q+J3ZjhKpTuQVNz80yCwxxq/WBr5KW7TXXsVzf6spLp/FjbZkQo1aI7e8pKQwmI
ITLzI1Lo22qvjeQLLXcSKoZu+wB5bV4D5qQNMoyD5Vb5kUEgr+VQTGjELBgG5P4u07En68dhXgqy
zE6t9aEpGVOp2yjG3pVpCJx7tnoeUsLdIqe1DGyHQ90XlOQbh9yQHZZh/aVeYdEwzVDWJ1rk/LZU
nrj5wZ47+Ze0hR7+HONdBHE+oCWbFYpeSGTdVh8kcId9EpskmRFGbqbae9ytLbtF+mXOztyF+iR8
psjispoROHo1KkML4MM+HdcHh142dIn88LOsQsGamu1tRgLHNrHcnuKk7xyi9hSDja+pT2G+RiPE
LsrpUrGfstkMCK7es9k9mwtw8nVC1plWF4HWg61RthVzER3srNyUVtY9Qw1mB6rZHt17vIlXNPjF
uLxq6oSx3U6jTTQuj2ouuz1YuCRcSTc+Nax29zWKug1dDBMvpewh8mpdSHA97lGQZgcx5NVmwrZ1
VPJl3atIe3mDcv3ZXfQ3VvyAcgmjvAW9Kb7oJbqK0u77A4BHue/S6aMF+nZoUxEfG/JFgnUtbiR5
bPuK63eC6kDA088ypQlS8iXIklWYLODzT/w4Sb6ba/NCwq0keqqq0dSryGRFm0G2Ec4UuAO3dWnO
0JzTBVGlXB/7FBrSjWPtjShefdb62j0/vTxKfP0tBNse6BfUqe91Xi+Bkxi8ODxsO0AgQYYsEsTW
2u+qptmXk/nYGAgRnfS0atHWbQfVl/r6lFo9YRWde2Aq8wDEfl+uxS1Gawljyasfg64CN/TcNc3W
Weaz1JWZIcmApqXO+3CE5Mg8WXzBOsb0uSy6gIz177lQMTKW0O9lngyPqVKeHcLufLe3Oq/pTQ7B
1DmLGp+XLNgUqdAeKNB0cYW4W4YFplnfJmeHz1bd3QIlEmurd0Xns9DHStfmnxgfUq/RVfdgcVwy
sjJA4kSGvCRuL3cDSpuAp+LGMWiuo+xChbwyB5X6ZXaEfM9vp1k2RDa9qWTOWCNme0hJqzpUdZ/g
xZXtpsa+y+aI2A4FlEuuzz+SvtB2TDwHHzkE417NWXyYWO4B5RPYJI71a29MNdsLy91n0n6IrPY6
jb264ZhwjhVibtvv0N5+5VwBd8lQlGAto4ezqw/Ew4AY2xIDYW7UqhkuhOAlD8Y8u+d2Vh/QN/WB
kMVrF+ugoN3hDorwhqQ+sMuytr217B46CyepAvU3GlS5kUZm8ONV4j0R6YVwNG6HJvJZ8bjbVPZP
Of3GRi/W6HHKpjMFIQnwxLA924p8NmPGphRu793qvlixvtcH0+JzPNSbIs9nL9GnDWa9fWXJLX4d
+FGyERRxcbOdnPaTnCMzNNu126m9/sQ+KeMDnFX0Aqxxj2YzsQbSjIcB3CB4py9WRnSdnmPKqG65
X10dWopL4TcRdiRMokE4S2vFuXc6Y9ulWPJm3rrCqxmmw0BenZ8JKDnNYtAaNo+aQoaNbo9nexnD
sckOjD36jTk2+rElfB2nSJ0SL+dWxI4suUMs5LDuEwB3pI0cUPRmW8IEifYG5wF3S9lwmeU+Ccw2
wn9xc+aIW3aKwvt1cwQ5l2VVxRXJOiHidtuc8wG+2TKNVYgvOEFMZAkfUtdpTnHolFP+rAncPFF1
JiiSi1W6bqi3/eO4dJcmtYvPcS53jF9eYLreMgnwEs4gp3y63fQ4LsZeawttI5LI0ZlXmOtlRsU8
embU1AF7B+1okp+4WRRjYe8dG69RNdQPhqplJYFQtKiQum6RHoVR3sfK2GVe1VKw99xrdTqVOxio
MtA0jQbzxqLXY4CJqc6KwL2N3SNDeU6U6XY9T3FQWS6SF/Myqbb+RWGVfqfGhJ4EYslFzN6JLexD
KRVnj4ZnPZDv9yxmtf5QiLklkKwoB3B09mSweP899wV4xDLuuGf1cOzdz0IZ77XETn2i1vuHzizv
p1JRSPJRrsWSDHfZnH7tWqPdDLNVHRidf3U6kT/NrPV1RetDjV+PXKGcMbZwxG7SluhdEmYXTmSj
7w1mziQ7jskWQwNYJKfO/CIj1i3txldChrqwVB3lHI9T9oXma/LcsXN+ANKMg8FkLmsmRv5eOfby
aLPM9LLBeTUys/YLp7C/2PTL5Btaqq/biXwq45LMXASCWxcQn2cYM2GUGKCmDW+YpI0xGMez7uS5
5seL2w6cmfxWt9nHoir2g+uW41ejG0OyupJLrhJAsbD/82xZa4XvMB9nJ1m3gk1Rmx/xqFY7OQzY
ZLsyPmt6vuszZluKCXtuGNzqwSnYUXDcJsOV0AVnB+e2+aqs7q5iz/g0sjtjAJi6qCDWLCVfrP/W
ZM4np3O+QXToBkMbkasmNbx2hrut3XYJsFGkhMRbXBApzLxex2yemLqK+KiS+qVkbYuWz2xOEpYW
Us5uOeEgdHfYoOfATppP4FIaLIc81e5vcYSPHJAd/eVgQBL4mZMjyrjbCIwhXF6dUuLbc41jbBEJ
kFMLflGn1kBk4uQOYw2xGI/AQLSPMjetD7IME69Z+9iFQEJmj4Z8ah14zXWww96Kw4gCeDzYeHrZ
6alBaeh3EY0KQ/8JEUSEqyEPCioPP3EQvCV+EWnFlBzbYbI3MOdjgtIoRLUzhZZflOOX1l33lj59
q9j1b5vaXoOir5E6ID7ZR2Wle+tsgm4U6pZ37WBK0UMYgAObV5XEPz68jb3ofX2FS1TWwFbg6cGX
ixruv6zaJaJkzxfVcE0dLd8ZvS68pJXjoVSnMEKYKBHcPqfCard5bTnHNCFSU/ZIzTLbfVzWZJOP
TfsAhlhsVe2DFQsFk4wq8uqjZy1uCy9v9CBSBHzTpK7RZbQQByX7DWspQ4yguxULvl+0KE+YaGt+
pZS1n4oxcHBHcZwgLRSONXpstTyH0JO36Ya2pMDfqA4vceHWzzN5YKGtuhhEUiKQ2YcFUnOKgFaF
mU0PR8CL7Zo7Ma/A84kHdyrE1oqNz7wcnqt6Me8UCwJKQZ+i40DcoBUVfltDusfODXLPbM8s38cN
s139Sz61HXuUAts92mVf14mamMnyYQCBsdSocl+CuiC8SlbVKStWICg1gVIdNV1aRem3rNUCbbYB
CKR8yufcAvaLqMKanegZPc+pSQZxaRlU4IEpf1D8djfyW6hJwLmJgtRzFuPdnHTJZsUy/twKmQa5
GOBuiNINhaDY0RsHcCcee9KZOVwWPOBEFJrNxXKiD7Vr48DNSBtKiCa9NguyVbcDOIXcmapHg9Kq
1vLCJmu46CoeoaqZfNadGcwodbno0j3gfVQRQ1QwB8YRWDVjkRO+um8V/UauKa/AYt7jmjgjrRtO
tLmE4MkM7cK6Z6A/hquibPPkh+I0mOItnLlaJ+tdk7X3pEQdyxmGpZs0rOtY9m7qmvZ2ZOayNZCB
6RWxnIaUx5v+nTpBPaiZ82zaCRyRdH2f7eEzGuKPqsr4/FTGdejPdhU9V+Pa31Tt8ZtCOrM/iHzf
p+vqx4Z9Wl3nxamroHXdaktuauXpsYOwJkJCq5SqBoCnvsqJ6kzppOr3w9oRMO3E6iWLqonyTLkf
rGYk5KqYV64EiXZU5yZoWDDWyWZxnG7f8gl+AwD03chwiBnRtHiJoXetNwnAg15iFq9ALosqTFOt
uHBlEW40V0ZOgVe1dqAnbXmder3fjcrc+Ditsq1MlRhWiN6qCWHfff2qE+HmzxPpCXBymudpcPL9
OCbjnqo627t2Um6FW4oNUWbxcVIHa9OWwxPgLsJMMCgg55b3ZapoP8y0G45rklqH2nDanZ4v2YH5
7rIxJ9E+oVmtyAXX3+nh5TkrgQNGsXq3rjGDua6KCQu3DX/QdPOsMXkMgZvMW6OanUCOdEujLZhg
sjoivgSHgoFaeISGGcSzQlPVoJ1Nux4/9wBAojTUOyC8jk+ohoEdMI/uLIwFUCuWD6cYiD7X7Xc7
znnFKGrP5ZCXOziWe7MdiTKakCoUqDCqDrYz6QhvcMPSoHFsI0CJN97wacQiU1cGU8Zf37kgcnl2
Ymum3KPr3wgCzJgM6H41z3KDXj/fUzfukQBJP8+LcXNbwBHPmS+89WYZ5lm6lQlZcoviPKBsEFta
YSYuxixfyWhwqaSFmp25qrmFJrqFy9K5x7IrHY84RBHokW16Q4YMANeIV2l6cySmSfUQ6Ka7LhM3
Tzoz6Kzv1GOfNf2hq4wfzTqcFxfezq230Nf0onG6h0TMFTdi6REyheXdbAUhS2QWXpOieez/+4D9
s3KccKgjVwB7XhXn2LKJ7WALQH0NG/SmIO9muKuauo0n5h14s+llzGTZDFnKX+UMuscW7Pta1Ver
6s9LvUivXQDYxgQTg8YGZmwgZVaQTE09c90oZ1xjdFgfZk5lltC7pMpB1mS1eZu9HiaeVMLpgJ+q
Q88ZiUIgoAD8GG35kdrm3hHN/dxX8x74EXHRTXPkiP5SwyHeiGEOabX4JEOC9XtElh5PA6oebcD5
MU+MUVYuXdEb+7bWUH4qe0cO4Tpamd80WunS6Kzl10YojE1wR+KRzLUnzs4HnehDfqOxD7Hs0nk5
kx8z/w2gzxIJXaM21WhSo3Q6JA7rDVOUHyXKr6skyJbXyNw2U5OQC2CszziT721oosFca2TCdOqG
tBLbE20rLZ9CWQms3F48Ghz5RJ7Td0drLt2qHzPHegclBe/nvdeK7dA7P9pxwTzipEuIbgTva+EG
jcT3ImsZrM34g4TsDAVV9pY0COQbAXcUVSy5Z7hjc2hjnr0iLApKbMJAAVfKFhm9ERd3TxIU2XHd
0FqzDxsf8+ZADrFCTV/DHAFjNI005SM5RvwhbvIaLZ3nqnVD8tJ8S3rFhTo11hHM7bFVTd+S8w2q
RdbshilOfODKQnOxanbDDb00w0mp1nYrOrAkiF1Fu0/BWd07nGpQEnDKmgWlcZM43k3M0j8pwiq6
TeF0gMFaJZta39ASRm0WPQJRTY0+oIUQrtboqHzGxYxqZg7wxNTTYDtAl7LZzvpThAuAicX/n8Xs
9nt1eS++d//nppP4pLjgnEv6//uP/8rm8A8ZxU3i/Q//Ev4+Q78O39vl4Xs35HzpT7n17U/+u//z
j7iSf7FyZXDuMJf+55P4I5vb4TNb/jqI/+OLfg3itd9clkG6iQUONS+Sg1+mQ/c308b+jqicw96E
6PmnUMFwf9OE7moq/kXU6Dc1wp87V4sxPOJJJO0C7uftq379+v+G2lz7u+vwZsFHBc88/2ab0/+e
3mFgvW6dlZ3VqEUMaiDl2ddJi1doEywQU3qCw6h+MGiZ9zU+jMmTHJAPYzX2u9Yuxq3RaM1W7VNV
9f/yMv7xk/6DDv7vlACkwPxyMGEgKutCU//uVJw7hh6ZjsDRJh2humO3qd45pBryMyiRmXnaUD2m
mlBEmLYRQ1uD3rkeO58I3CH6hglHu3YsxBrC9Ra7sL+yo4svC7lVPeiUTnstEiDoyN3Get1wDCpO
kJsQ5+7Qw/N0BcLqFWdH5uQacGeVHN8aWY7ZHFTCztrnBMv2DmsgXEnfNfPmwYm6fAmETaCkp2Rk
YTvtQLqyvsiQtJAnOCtJO4Tu5Bj3q2YNz4RrE03VNgUBqbmex94wSbTfkLMe4EHSt4yCuw50QIWQ
GBj4rG3GiArg0FNgZ5t0XJBKy8EQ17KB7ojVDkB49GWOYgUk/NoeqCS07YAM/xOYQHvnFuYcWLJD
klYdagIjn2zkj/fwvRckKEN/hEk4Eik3KoS1rExWcldal0YYy6mMk40CTbX2kkGrHsiHfVUNSeZe
2lUV64ycezeKGJqpgzmdlbhSrshQ2BLYqMfDKR3nU2yvyDTj/K4l1ZB1vlsSWThZ+OuZnogPOnSG
uHXSeTN94gojR02tB9XJ6gfW+gYNolPcm8SEsvI3Wi07s+3tjGcZt4zrwHdSfDWhIIKbhjqfnhZV
ZQMM320/W7W5pVQpNzWLkczXWouLADHNjROn7Vg31yE3EhUpCV4M6OtqL5C2+VoTW1de9eboWFm7
kZgpDjEUSWSflnNIWHfEQVSq+Qs8xu6psiv5o5k0m+HaoNSPMKXXi1Hq88kYVaJNycTbiKhvQnwO
wGSRYPr5MsJ3SKseZACN42ZtYK1RBdXJe8bH3jP0dvZ7PmlMHRgkq/Y4XcD4Me2buiHMRepuRYNU
r1fW0tMn5qVr2RsPjFSZ36ir7sVtmvCRZpVEXgEJiYu/NsJ6MflLfGXOodo47hCa7qS96zHz9EKS
nsIcIzo3RSJIjpvbnajFOPm9lNYrTBz4tpGdaHt9JOE7IFRyYUzS2+WyhYVDrWSbHRsLvSlsQrtd
Ok0kgO4S5DGxAR5LG+UJbwWmMKHk/d6dW+3o1mZlhjOv4360V5rKglHCKSaf9kgLxKuHRA/A+ChD
NMi02QuJrjckvvgsJjFZ6NCn9gnFaHly8efz8q1NdmZpHQH5cyNfd3DB0kg5N68d5J9xOwJRyAO9
d6erXaqpSaVHJnPWt89uMq0f9rjOYTR1Yu9aWCNSC39YUGvkBnMSTq94DR0ufMdaVK+Iadpxc7aZ
68PHoZ2putZ+KyPbHQKzaSnwKrQu48UoanD52opOvCCMDTMr0X7FaansXvfcZRz3VQzAgqlAzupH
Rk5+Z1aVRVxvGut3XS6mqwU9H215mYzAocouvwP0Wm8BkjLrgj9SKZsW5M8Y1O1qXSyOg2NBTZ56
VJIw7/uyeUgHVql02rpxjijHTsxaK9KUjEa9Sx1ZPdnAjPJAG2AeqGj9TxafUTdsSVY4jCu9P1qF
hDp5yp4pa8on9BEIQpehCIp6ytCUVBy+YBuyTxnjvvNSJkSY91C63LN6yZWX2ogR7JDM7j7oxuSk
jCqKmDelbq12I9TC/d6uRnMgsnB6jUm89MdFGx+0foQxW9XBqlhsZ+KhSnZkKkOo75tEHBN3xFE8
jS1xKdUqvYhc3KsG2eVrhbPxwWagr+26tovvBQ0sDHkyovPbALF7q4AcsqXFjUgy7c1oG+EbfU8a
FzqJqc3juXeKEWG/NplExRpORlIqnk9w0TeFvTl2fDtkROMPznf3wVWSadPYVvfGnJ1vEbvqehKc
zRsJNX7fZvocNpPZhJwN854xdPQyZqPGP/jQcc7zkGOJzG6RRyVZz2tCnAckp9IHtWKftNgElWcv
epJ5aqc1B5c0i2g/9s1w7B3L+v1t2ylOcizgeuGpNPglR80Ou8T6lIYKPN4RLNGQ0HxJNRZcrDfs
e9dIAMwbxafedC4fRDMz7sgTPSHn58gx81NMyvTn3MGCtlloWyZJvrFWoKNSGXnXtZCXxazsrQDh
xRcQG38HpZT3dEqd6WIOoFt1fdDZUCy6NxC66aWOqrzJKWuurW7MR5T4rD67OilfhemOn6ORd8cM
aULQFhX9MnXJB/V79cmn1DR8gUmIo0PaoxMSOpKcgO/AhOU6bY+GQ9yDZ6KEN6C3rLYI6Z0XEcA4
dY3N0iop4+F1UL9Ysu/LsLGa7EP0GGXCxb2FEMUQiSM20gSNMtbqb4yRxJ6wGWIb2tYZKwsGMRjD
0y7JvqCk4O1K3oE0jHcK+MSHRbUeszkyt1IWMSQ0AWEHa2pinNlwWj0DHo35J3MCZP9J9Ua0dL/p
B4XMjV7l/YpUiXZHMWT5ZphNwd+Zjt907RY4Z0XMFmwiA9j2ddqp4zjjKeqIYI3XUScpLVV1jPyI
TPmA2Hr2TtTXawcvHluydpu2Src+kBqsEOU8OQzojGWOEkQK0YSrnFXzw5So/QX0ynIFm5E+zvmo
MqXsNANXf64rAL27h9iduKxJ9jsnZgVBB0OfjsYfCkPgkt3W+ZNIEX6ahYhDknrHAFm1/TnJufkg
HpQ1PkND92CLbroVmKbeMoyv3HDR1l4wpGjJA5UE90ApH6xTX6grg/c0p7eeldVumMrL8UTqJ/Cb
iXNE+m2J5sGnPGm/6hKd6RW3BtPMgUsfcnS1InfjMxCF6AaswyhbbgKBvqzZZTiu5mAm4i/iahXU
X1VuOI/zDFioamxWw0Iu1tGBm8RKzjXqrVNZuTy3+JNmVIZ2cZGlM39p4dY/aMZkvzWRI7eVFcO1
I8da+RQa5iwHxA8wia6l8VPiQjVuDSZXRmMnwzYlTfce5HWCVaBO3bt4sOsfbqmK1M/VmHW7I3PV
L6sRPb0xkHg6D01i9EeLbLbK+llk/1d//i/aOrLvUIX/867Or9BXffbp59D/tbH7+WW/xLQailmC
Qixbp0tCgY6+6Y/OzjZ+s9FO0bzRUms/dba/BFa/8yzxCFt4iH+ahX91dkL9jcYOCS4ZSWBg/sM8
Bq6wf9RXCcZ4SLhUHRAKaE31762dqS9Ynat03FVlTEYB0QshEx7XN/v+ZbGyD0dFlFlXaEKJNIRR
LpESzDOTTkfLal/tnSdndLIDxRoTuyE/jY4AW6lY2CJhVucq97wt4bOiwOTAxP+2EQb8Wdw6fOAd
lhO1q7DysuCfA6C+MqUi/CrByCIpX0KtIak+ZvbtYdoYfclVjJi3UQOZdS9j7mJAShF11ZXuW6b8
sJRaDZBCsQnQ8OMAXWv39di+aE5S+6s5Gh54eyUsIvsLwdEPklXVyLnP19YveUWGadwDuqhYftqW
ftUSB5lKye9j1XMfqm3zYpEdgVwIzMik8OuxG9PxhCJUHRV737bOHkFtTx4XL81IPljcFwYjo+yH
nqHfsCxeygqWf6A2/KW0lAZm3fiZX4GXQXX2Rdp1AbFadHUqP8NYC7yGkU4yV6KzXKTT21TUyYEF
DNofM3GdHIC+t6+UAmxC6g4IfPSbkXPhJahzAyFvr63XuMqv7pKTN9fxLamzzaMpEPGSZaqHQ8MP
ZNRWFqhr/Jx1BKhF9s2eWJU/lhIKcmMA/jejBa1ctsDxcvP4M/p/7J3JctxItm2/CGnu6DGNnsFg
K4qiNIFRDdF3js6Br38LVGYZSWVRT3dcg0pTWpYIBsIB93PO3mvn9Ec7ClZ6xd32WVTbCmLdl9zm
nd0x2qvEgG06Ddq70A8zeDi4cWsjn3f1jCwauQKDCFJ2NqPjnfnSuHteJEkz4XOFYrqpPdYB6Vi8
qkGIKxHcEXUzEP/FPwrh3AwJv1SUZvYZTlWcE2nfbqqo0Ecv6Jhjk8izEWQfrIEVgrGXsLeq1tx6
i7rbDV3NbWJhwfVjcuw4l6znJx2Qam7CN1zlY/IVBhPf/cy/paGjV4M0ys3Y+S2DnIq/U3CXOEz7
G9Or5wvB4WitWvXw/H0XEZnwA7bMdcckZxeRZsDkR/HVL7KR3vXzo5DREw85qxpfBccIVqfvsVSq
5VmImm76mMf8q+unX2m18P3rADMfZ4zLntsFDu9umvnmx4bnBI5qeBwhTlzEWGLXgdc+eBk/0PX4
hv2exeTzND7fjLLmoRgN/q91VnwtoBltQxKojqDKHTrRLNo8a8PjhJn5tmDUtDZhJtJ9QHltdTW6
xIL4FGIExKZQS3KBoNs7RnF7TidE77H4k9PQkEfQdLO5zagW0GNYp2RMS0R5VBIWTA0mL2V2gY5a
bGCxikVwT9DcFOVbwXMCmye5GWK0DcvjhVZzPgha04SygzLsgQfCZ6XkEqDIN3YcZMcoFuVe46Hb
EiLDY5iRRfr83RoFH98Iy5M7oLiPJEugrIk9sMhmWj+v8tnL5l1Vq2DP6J1DXpEHOxpd+WY00Ig/
L4BlhfOI3yT2jHR84jUWDDzf9hyg91y+5q4fLZ4DlhFsA3RZqQwf68QxDs6SyzAbXKvspXEIAybz
qZN8xTjIVyCzJ/zXFtZsnh5h8DQXVheszVKGR6H68kQEoL50tLP3x/SrgWwbzwDugjAzFzE1T0Q/
C+MQOTyn1ezI00Ruys5zWWQlCpOTgaIMHSavLy8tOKHyciDDbpVoex/EecvATfPDJIEkwMTctddx
nFMK3nBjtupsdPEPeOXgb3RSCNBQCD2NPOKlGKHvCEe+OsPLgn3YmzexFfh7OOHTHtEt2Tr2MKxB
S9XrcOBXGHsqUh6R6oD3h394ufXz3YQ4lEnL8tCSoAjAPsLOILv42lEsCeXYNzTE4G2F0H8dpgRs
OyOLqdE1OD6gxVmVi03cCPwWrq0vey97whDFrZl4Ap7vtUupsskKfmQv+V5t1I1bmzn0hlEDr0DK
CtJKjfDaxE66cYGB7/2weWqWg2TR00gIOUdGCe8T2hDJTir1jbrE2ZYGREYOgfdFRRZZZsTXxthf
enAwl6NzdJwSzWTOyNtcwhiaxNbMRoblpTbAu8z5/CVzGIitXE4EqDp9ki0oilT6lRm43mAsDmBU
CfPOibJ80/o4KS6Ih+yPySj4Ci1BEOQqjCTU31SAIYwZUF3Hke1ysMf8CApCtRrE55R1YguiULXI
buNaEo/RGMc67B+Nrqq+Q1v7hgC26leRpbMnv7GMGbqqMc/tmtf/iMBXVTsi5FA5rxRaFZIWFM98
atP1i9iKNqb0w4tgrGZjl1vl2F5mZux7Z0T+tcWhm+bOeJgiGy0K8LT8FHJIRqmqcrDWzZQ1yaUz
uCZKRxg7xm3Zc3yIPffuxVHsXzrDb1Jtl3MNQzI8Sa6HhD14TkF6EdqSB4Y52zDdDl4y4YKd46ck
Y3OxSv+uVwTlONjpOPCz0t+/7lua3fN1SdiiH+0LIofe6NUJHqbW7+r+IMfnlx3PoJVk38sRpQNh
VE/vX425QP3CQfjzU3rgaExbEs6wTCFeguzmEdEd6Nj+kE8skOUkEGSAOCLADz8/1/+KgN8UAez4
iwHuv1cBlz++qsc2e22y+PmX/q4BAucviwkOqVOgDoVjvzDUSWFjQ6UGgLP40y3xHxcqvCBBLjNW
05+DHxbaPx4L8SfDHPS7rxcNvj5HMBeCtsjcyPlZErx8NKweYzjt5JMFiQug95wp02Sea9lNOpUn
QhTtCR5MMjBbjXvUJ0vVOt45vgIjMXfhh7zwwxmMoGUu8Tvulala96RTesY0RgiWInIY3YBpKUSc
c9I/8FYoLpXvNelmMIN+B/wsuTS1jxgYmTmCqoHzQi1jDNjY0i67qHDoIYtmJwYa+lkmyutuHPvb
oHRpICdTlN2j2B95Nysf1x/RLg8gBsP7XsQG1Bu/Cm7z2C9uldndu342n7XE0SKy8aJrt3HmWyFz
dasjiwYw04urOeyA749Wd8xqSBZ6tAglcfFZ2fFyCkwgpdz1CGAfiYdoDkwzeN3as6uvm6Zur0m9
jz81RdZPa7LIa7iNA1Cc2JMfPDbCW0e76XYQCzDOEKU+qWg0T/RpPgKw6AgVlpBhV/ZgmWth1fMd
c0RSQaX+mtFZ59VBS/4AjSY5NfgWoT7XTvuFqJgRZR3f4UdwYsUlNjsmL108H1WBZWgVT1a0yQff
W6dl9nyCNZJrM2hJx8mjK0Qc9ENTnWHMIE+4hYB1EGM1nnRc9ic2uASVcAGroivG6cNE/3DHRpCt
O/TCVz7qs8NkNuUFPrXxZBP2eYCiaj2mtlUd0VF2H1zfzMFFZ0a2Lc0asa6KsXPQ3u4vZtmIHeBN
g1jOvLwh0NP60JEx+5kKNX+azFbcmVCsCSXW5TJgMy6txNtFjugeuFdEamF2DK4b8JIPlkoG7GhE
rpSdKbacKef9KKjtaCfr783Ytlc0MatTSo75msPXQqlg4VC9GEHwDV9Br9aNkhzIwQyX+Vojx9va
bhnflO0gspVLsu92AoCyKgScR7+NZ1R39iP9NP+8RHC1xx9VX9qK80BfQsxhu+nXcQv8g0lTACmG
aIBTTdbeIY9q/yCYKfxIS7AOosYtmWTRfJWBAifJmoD4b0iw/IKtvZXBqhldtN6+B+ipTFyO+nUM
jSFT+YoA2nSTGrnzgPpJfGJ6QLQ2A89tbLf9RQJDkfNx3Qw3Ckzh5yavTfKR81qf104S3RE25lwt
Qw7l19F+GLzyOhFtd0vgOqd1x+om3EUzMgUpGbthye5n0IAYSNyWCRNzuNIYac/i2kRXBgIK0eyZ
A/YlX2EyQIcV6kb3KxJYinteI/X1VIJTKuEmboe+gKlBbX7BYKgc9/1Q12uvSbBF4lO6oh0aXanY
NpfC1vpCymKQMf5R+lNLsiigRb+fPrhuZmEfLHNiZlIZkxAfFsd+HkqIn5yNQ2KEGmfYlfUkrtLQ
wvVgOCWRLgYKtHtPgn1HN1GF9dpumpA3SVLPG+zC33PG6z5VWaEvrNkrJr4aJ8k26TQY99HQgovA
L0lvMDcivbESCQx8TsvG3GmUFqjh/VrfmLmQn1QblkAoEZrVzS5nViP0BYNlXwP0sSKM9eZODTXO
fQZBE2mEjBH7VnwI0ehM7sfIK+rutiOhh05MA1WwPM61idto3fl4NeqNPXCU/KBSHfnf7CgLobfG
jBtH52MxpGPjbf0aMeXO6Psu/T55dS2zPc0jpdi42Nz+dw743TkAGRUb6X8/B1zQnKlgtLxsBaJN
WP7SPxoPkBOBE9geyJ6XEg/OB+zxZAzyTP9H3EGfz0Xv7y7ex8Uzv/ycv/d/KINEMJiCc58UPgWW
/SfnAbgVb84DhOrgChWwDNGeWmgpXh8ilXTTBgZ7fJxZs80qzyMX+g/UfxORlWsPn0VUeJeG41S3
ST2Vl4srkl22EHINdzXdSqpV3O/ZDInH1NlV7HdsVa6B0T7w1F4HJMR3lMFYyUDibByfnX9VhWSw
r8IMLfcUO/H5kI/VSUTYQVeVmZ/qWGXXHm/FfQHldx96IUOkLEefHRVGuCG+yt3PSazOsH+6F327
yOnmlpEY5H/MiQVO7XNPky6TgV6GNQxRZ708XPvUWNShZRXeVs9KlWQRrfTia5bN1SPWD5/jkBVa
Kyx0FPr2EoiN3ROyv3avxlDz3EoybMUa8Lw4w9tgHzg9Gd/GSjVP3tKqZ0Ljn1VhoX5EGvwpLTFa
+QnA9z1EVHVrt/Z4TDOOZqspSyHLWqn5IxXgtlKHVG4cZRZa+SlyLyNRRudtPRuQa5fRATGN5iWx
jOXZlDQPQ6CbW6pid5/F/vAxrrvuAwEPML5yYmu/2qEXPaD8Yu7cO+iKXTdKe4bDhIf1fgkrjMD1
FTRodRY7QeYxhZPqsZn02K9Ne/xEfi/Kwb7Mv3JK6Q7BnHQ7yXjk2yzo8SZCXRlz5Bwz1dVHAEvz
eR3mA3kZXrvztN+aG4W2nEjFqTcV32eUPeBsYLPlLvX8tMJodyT45OeTJKdIVYXLB9VA/1sZ9uR9
0EBJHRHvdRPmd7D5409Zl6DLGMvaQqatq2pb0O+VmD0c6Fsx0GvOaaw9bImcM3oy0lq41rSFVkyI
w1285Orl0ZKyPbakuxFfRHiYQ637hLudo0ANG4DoxXxJHE9jNkaXrdRG8n2KSPXcOPNEgKTyi4u6
M1LCgy05rTPUBQaupAktokPm2X0IDhGybx/ZXxs92vUKwSba7hy1e1WL4jDXM2HfCHvR2vqlvJwL
J7iBCgfE2je2pGxSMJPq4yrnki1w+EbUYHYmFBahMcWYuRnaftrbxO6dz2DX2l0adCUCoTR8MAo3
Mo5hYzbpFs2M5AAk2h6wAYfmAU1BuB2mTH7u4Gsi3C2b/kb2ZfNFTQJoQo22I8PQgyx56qbbFpi4
f7ARYEO49IPqkJgEugeFpW0y4uJ4EQxI6x7JSnzeiNj+iqibeCckVlO09tScH+qo9OFUCA+wKKiA
M06PwR0BdBX+LAzFTNTxo+WbOmqrnR+XxaMTxcFH7J1fDTEuLA9lXcjenX44NcQy1oSsSuIcw/IB
7nUr14S5oJ7E96Q+M59T5Qpvcn3mh1W3wbzEGLpznOAUEyC1Qd95I1sOboA5eZ5RWjZr1Bn21s/r
eY0sGuLXQBdK23WyNBSRuo5dc8wq6R0dAZ5htmKsa/DuGOD1PW807C7e2ghqsR+Q13B4Mpx9lQgU
X0bQhfbW9pT4bGZxQOuFl+lgCs6tQQlFYe8BnoTsaDWXGJ56MH+V1d0qciO4sUQ7fgL63cDVkZ2F
+5vgsLMw0lgLAfDUXwZvqlHaGH57aERAG8gRU3tlt8r4Vjkehs5WpsP11EwGL5c5DuCApYHC52oP
O4b+zReXXLIfTR6Pnye7lBdWm4TFthtbn8BFBwo+uG+ruYqnIMw2dGdpisVjeBabBo03KeoPUdbW
Gz8LRsx8in4lEYQbt/SONhkyYEhLJgxxm2+GCNFBis5sW0m7oTNb3EWl0++hwIWrhMwz/CkqUR7i
t6nEmDq420bo+ftsDbqgh+s2m8rqCzyJS6JVLvz0SlOuDf25DZS7RJSnxjr5NBsRGvbJs8tMPPhT
Rm2CGceSDK163P7pVahDY2Uu1Z1Mx3A3LxWfW+Ti1l2qQF6L1INLZThE4z1a5PK2YQx3S7syNFcw
8sP7cakqmS1QYBIVimp5qToBf1GAtkst6id1eS16XVxTZje7dqlZuySzLwOSLpk8UdGmz8WtXOpc
XUz07pfaF109ZbC1VMRpQGHTu5mxI0yGgrldameG8ZTRcqmom6W2xoJtIlYqKbjVUnvbSxWeLvU4
el1Kc6BvuCVgKV2Vzwle3RLmNVEbgnOrCfhijZ9FfPBvmC/ns3FSzl4vNZ1ewsGy55ywuTHmQyTz
CUkwCgzsqP226cJ+m+HxGTb9EjhGkCeRYcgM18WYXjfgm1ZOQzhZ+JxTNsksvB1nWDVuSk9AV1G1
LmdizaYl4Cxaos6W+3mnlvizgHChA68Lb582yrjKsoGcNBPa6k0ezPH3kPC6Q6JR4K8UDV+uI7qJ
6EhvuoGBOe6DKQjOBkkgmwor4IGSkDaeJ1A8zBiAkzynuAFmJ9Ftfg53e85565fIt5GJAzb5JQiO
pEG5jZdwuLTJ7SvcBOEFtBZ91rIxEndujpcluXJiCZiT7ZI157TEziXYtr6IMczO2iWUrrRiOtTJ
c1ZdrJbcOpv4nTVdQQ/pZZpd43YdvyCkGTdZJ93PZkX8nTkRhNct3WvglEs+3jyOzrxVNGGqDyUJ
egmUXt7YMUPL86ZtyNgTpW/G66EYg8/JEsLnIMxurt3nbD4GyA1dZOojB3UeFfbJdPHsYBBkINJA
poQyvjAZuPPwkKYPihRADRN2gglJNGAduN46JrEXWG40EtZq4nPvVE4jt++M+MGpLSd5NF0e8fX0
DEdUJFpEWC9/chMleHcoitVPpiJL1oSwSMzWwltsQC9y7NWfsOaX39JBm/cB3Ic7ZJP1sQHa2Cz0
xmLhOHpNS0nYD8XaA/LoAnvkBfhkA39MgUAuOQ1frWcwpL0wIltgkR7g4QON9Py6kZB57MI48eWY
JGdBuymzrnmymPgyoqkbMJQjjssFHZrkB1VN3Y1FHum0xq4ZowdUGE/vfLdHcjKb803MeAdA4k/u
5f+qp/8/Vo0MaGC+Vz19i5PosXxdPT3/pX+qJ/MvmlcvRfL/UVIE4i9b+DJ42WD9R0nh/wUmTLDK
AuuZY/OijSr/Ygr0H/XFUnz9iUb+TRUF2QzkA3KNxQtg23RWX1dRjUb11+StPC8ZgnXNeoiKRB+U
Q6soZEjpYmCPiXA/pZk0xo+JRuil6ynmBdcicH30EjjjcjMJAqP1yiElYMK2boMPP4/MxuC0EJIl
tWpKpIr7F3f6X0Yly2/2Yohg+ja/sM+tJenHcdCpvP7N/bYfYc7OKOQioW9lXBprh23oNA2eYBA7
ge57/4LEo/5ySfBtEn6Qg6FvSf15fUkjya3aAK197rrBqeqAH6zJUJDuPrVtOkYgcY3mIJWoPwcj
ckuNE5Fz8wGZCKd5jouyOgs9bKGc3jzuCm8vYL1mR0/WLxMA7RVileuY48Zdbspu3tv4f89Tqgt8
3rRPhxUblnJXjWqKeQ31s8x2yHO514Y76Nt8hifOZNB5xLgPajXFAwb7Mw4HqG8QcQpUCyGN1pGX
HKY7vpFmXXRt3xMCYUwXk5uYd0paLILRyp1HZZGgMdlGgIerqyWd8Cpbhqn0I5G9B5yVMOvpa87S
udo0cWTeQXwmyy/xWj5bq9LmswGVnJQP7N4rAqd9LNqOWX82ccnP5NqZTYzRteA3Cuifn00zyT0f
VePEvMYaA8a9mcayPTfxJJiXMyW3sXO9ya0fTKsv42OnWtZfRKgrXUzPGW5nVZp3hgV841NN59z4
Ypkddy5pNb/PhLOswh1Gxs96UBBp4RYZXDrH4hStoHrz26G+JcdNzygE6HqnaXwdok12Kf/KIt7Y
NNiTdZqVzmM6RrTtkSDdD73ir6MzV9iRE/cmBjc+r6EocZOSyeZbcO2uax/isRzqA9lQRbHlPsKj
dBKL25IYOVmJ2umaGbN1xdc6mI4pzyMytulsLF+Jt9ycoEkyvr/aqs7ZNydJ1kpHTO4MWeEijsb5
xvDx3a1SzcNrRQz6NmxUjL1bNfEQ5oHkt1SuN3qbajBzVBOku+QO+x7yej3duZ3Z0SoJNFbKNETl
Mzt99RilwFcmivp7g3ySy3Go82ukvNEj4ebJoTJy24f2UHqPZZQNn2pLpHrHwL46j0GPXw/j0C1x
TiN3vMjDbDqamvp0i7A2uIfo3nY3hJAbyDkZ3aAUVh63d0wKV10J+rfWrnUiMBHrom8sOa8m249n
vJ2sSPPbWGi+u8Sq7fGJkXtff+aPRfpU61HfMv2Xd6mbk5RdRayR1iwxyMVVIO84CvD15CB3XFQW
I98tATV5AfGuqj9zZ3i4vLTkoczqivN3i8W3fWiR0txy8uJBQLPJDU7Memlg5KI6d8j1qekht+pA
oEOV7Wg/6Wua7M0B+jFRjxbcCvSrFaKdLWgOeiWSpy3Y4jnlvkAlKMIVTrvqvAQEr+6yGff0vdFj
Ujl1pjLU9aQDfpN8snj9zsw2Asz6oshuQ8SfB10YCjjJQObMPNi8IOap4F4qEs6RrIgxqVdBgL8U
sx/UqDDHc7+zeavEYKSR/q2fF3KGNxcHu4HNdOMOy0PRKcazMCgs3qGlXZl3SW+QQE9Idew+6Bxr
KM3qgBeFH5Hf8M0Dw30ZI/shpyMvuKaRRak+0LxS6Rcl1Rjh3O+j7rsV+l32SfGGkPFah4jvr6qC
Qxz+vwg0ztYjoQvjSCb5SYLldGwbj++8y5W8TMGr609+HzbZD4dMARMm4YSjY1sg2TKvCvafGYZ8
D/kfbIIJtmKF00AIikGLQFVHerBhAT6LL4meabskkQ9pQgQPztCH62pm8EVOJeaYouo/TtVkUEe0
8YaFAVimj+IzKw/CjRWGSbYqkmFcSbopzib2CudgtCOBr5WdNlDto9juYU/QRKHuxiCI2CnHeVPX
vrhvgYGsERJ+MUoO+l2ZZ0jvAU8lGEL8g8zM6Gveht6PZcq3KqUqr7rcPfU4qaZtliuNE9eLvjjW
APaITWpDPIt166On+iLtuNiZpYjCtUeHZiU6T10HEbFQXr1odkycTKC9o/yjmbYens62281GB/5i
0Mh/VTRvOajXV0M+w/22h34LryK/4bVefwEgFH8Y7Px69IRO96pp7V0zNZCY0gp/d1Il8Crd/CPY
Bdj4YGMWywqnAort+ZjjGtj5lk1+dUMU2Cr3aOElg1XdsenUD6VT1PEmhT6yg2lSfYpdd7m1RRKs
fBfoLoKwXl/CCkGCkwzFJgq99olKXG3ynimVOacR5AHThIDUevYmFk45rfTEcWDT4vOgEimqvZ8T
9rZOc6s682ImGpFDdgJUrb3Qcb9RfMaHNFP1yC4FdK6cQjkgrPL6y6azww9Yt9y9QR7nzjECd22A
+fR30+S6l0bcNee8sKeDKMvpDPd1cDZ32bidWqXWoDb6ddNP6SEuW/dugIv2XUAhO0cpO58DwwQU
8v4J5ZfDnO159MI9lPDQDCn9X59PmqqwUFjX4RHUF5A4xpVrMVKALGMpDPpiqM5DnvLD+1ddTj2v
D2IetD6yflxOuh6Wz9dXtUNQeTFJB0dcUfVn7DG8GOrO5Izx/nXeqEY48HkegmQXPYLJbEG8OX0N
ceX2LU2ko50tJwxPKN7Zpa4/OzrkhfHnF0PgAGaCAzKdtje3ErFSSziZi9MxJ7arqmL7DMtJvjaS
Pti+f6lfD7KETxPZwFlcSM7zbw6yTRR4taGFe7TciUyXZUrrUGKvW7+rzlsPEtYfXw/zqSlZJoK0
KP+N+kaChMOKU4C5J27l/ucWVMaCHcMpW04juJq4ve9fc7ldr9cIH84HHW4ugZm/HNYnDFFdoDpg
wC4hJSitBYcfXqjswKU22QNRRbEfkUbNn4WRsn28/wv8ukgJ2HYWrRFjIxPJ+OtFSjeehl2euce+
J/dyHA0L3xr5a/+Hq3hMVl0XLxaVyeur5KE5IhZt3WMEJ/kwJeRsej7UlD+/Cq5r3yGCNFjmX6+v
4iJZbJiauscAUcHGTTw8URpV7/tX+ZdlydTPEqQ9AlsFZ/r6Ktkyzq2TyjmaIXTghKCaCJfZ6GkE
Bp28hFE0zL8p6X59f/FOX55y4ssWjc+bD1ai3ZnG3LWPBjCkB9kjTZzFwFEEEGOwLX0a/3gtZ5bI
+x/11zcLLA9ArZJPC9Tj7UcNsJiKuXbMYwbyahviOjzvXISkc+r6p/cv9S8fkcXhuRRxvoemynx9
Vz1MnVyqMI96ifPDE1idzy14l9xmwWRLBaeXVfP+Rf/t87k+XgnGpeDM36oKB4HNOMYifyReSB3K
wrYYpRGfRKHz2ydd/rpuAroTDgKtZwXYL09a7CtsdLE44nlF/53KwhlXiMnyWwRTCj8WQOhVSOz6
tR45142ctdrLoRl0uAO2alNcVM5jHpntd6RVFqfOuczjaz9z6/w3t+XfflNaH2bAGwk0vPlmQykT
Z0wg+bPCC4sLJWFCUKs22C+H1GapYQP43V75lknAJhYIj6eK7ZnUDaj0r7//KKdfErLHHckt46xL
l536oYO//t1XjHxAWIbLek8Tedn0efN5GJxZouAI9G3Tmgh+m6ifmx2npGTfTTiK//ipDyAg0w3i
YfgXY41okAwRo+Qci9nn0C2c9AtoPOvYopiF2dmApfvDtekCZ+BpoJXDEkUf8PqGNEm7HPqn+TjY
of2IHQMl8tSULFNdU43/+cXoG2GBd0nD+GUX8GeTXFTAwEdN5Nw1OrPgJOCQ53Tra6qk9y/2y5bD
J/N9TFLCWnY8582jjpZM1tB8J+LDHArLKMGWDPQopkp8/0ImSQmvd1cMV+5yeHD4cOCw3yzk3IoT
WADeyAlCEWQrqOF66DRtl30MIbC053U60AmxI9s/xWNcaCoSz1KrJl+2warRtzEGP0D+I8XSupVz
/Rk4pULC59LKoutl7QTUacrzJqM4Hs1ouu7KKqh+F6r9y4tqCTaB/mEu2Sfil6NQUhJt6xVte6Tl
729GRiPnsPOSfSSmPz51cSnWgO3ZJi09wuRer7suEmY3EOZ8VMK1znwTgRqgrIacHVNX53apf9s/
XHavF2cgm20NdiiPvucTK/HLtwQq15INLoGj22j7h+uaw1HZYXD/3BBxvZauTjPnzkd4VOZvHjJ0
D28vzuOFqtziyqS2sAe8/rh2HnaJPSbpkXgxqHUbkcJ+IBLCnXtEnKMO/a+uzDKbDKNWtowDK55A
S0XJweyIc8NilE63oi/oIs7MmhaOt7cUFkiLZkimrCOFgS3d9/z8a48ItZKfNCYOie9RBhcg863q
xknb+V4ty4uZIacHNC+yPg5qqvFbuK2+dkZNa6wNM/p+GY0jhq/NgPrAR34K/EAs+VPASYubkW7D
pYJistd24l5XkzTmfeVhzKeLXc4r4TWmYKCYApVs0SQG0O1Ufeoy25Nrjyn6uKmmZqaAnhNsSIlc
20PuMN3uAQ6hdOybxOnofYthrB4JiCwrnhmZ0jzqa5nL76PyM5riBgysdaDrpRnKpDW+HtCiRFvP
aObqDGoWTe9ABWF8cAdGO+uymfmvc+P9ffgcspDOC4QxNpum5lmLQVBOT3TLk3GdQVekcJ8UQoSz
yDf0bU1SSHxtFQQMnbKIFLCb1mr5Qsza4+muZFFntxU+NbmBry0bItVcfZsJ0z9Frltlt14t2+9Q
KvgUo5U68w/LLXv7QjVyaUWNOV+zFgl/kY/uPDojv+6HWgZ2sM3M1D4N3M2BjkZPby7JuozAOJhg
xYY+CJ2rDpqsu/cJH7W2AM74ib0bh/LrPEIqaXTaGx90lXDpJpvZtQIBb5w5cG61mOvHweluZWIQ
k5WxXPCn0G1Wa2hfJKYZRmKDulMtIZ99h199rst63Lgmr3BnjlhBZTlQSJjemHgne8AhdBZrA9BY
p+WQXELhpqdFGgcyGYJN+bMJdlThThZa3cnSIfuUmCEWWBn7LmKlRLE3PJ8D6Nmz+ubIpdUQuxV9
Myyz1kQIrNBMseep0k9BN4O0mgd9/bMF5+Q9v4wVa3lnp6bzmIRxHG7bvh3B4j4/Vi6sNFYoz8zo
Wan/WDoJrbcRW/ud1DJOyN5I6M2b3QL2Uq7DKmp8l8oszh3uq9kuPXMYNf3XKanGYacT+vA/RzPS
tx9Dx1oOErjD6MdVnv1YyHTpxCra86s6pfzRZLrMi8w6OHluT5MxpndF1K7HPGKViQQeXuVnAtRG
EPGYFrXBpCGfbG4soBEb9APRLclNWzb8IhIHHABs3Hi3JVJp/aXXnkWEbe45WXbrV4HuLxwNb42U
Xrib8GCT6QdJcizZ1G+geE+ypgscT5yNSWiRo1ewHzMGiKtVTLuCtYJIh7zs2O4s7xMH8wwFuqO6
qsYSBQkVsmAYzgW9eTTG6TFXLd36KacpiQOqnH1aEhhNj4UQmlYbHXL4F85qxmM4/tzx/6cy/Y3K
FEHnUlP89znpjsiz5Psrs8nff+efMan4ix8hHJShrr1Ec7B//YMS8/6i9nedJcJMcm5+oTa1yDwT
ywvI4hdAcmpx8PlbbWrafy0zQQ5ggmqL4/0fjUnfbt2cUBeCryQ+jT+KRdX60rAUjVrMQET7g2nS
x2aAEPAc2mYcnGwkGvgVHVWeyEJPyk0QUzi+uFfXP48Ir3Bhr/dudmwOxxBPTfonNG7ewsKahmkQ
8J5uP/bmsPWmwt3KxMw3UEOKw//hUoHPydizmQi7bypwZaXMMwun29uSop8m7ojfmZhTC1rh/+FT
cSsZcJMXuhxgX9/TWeqsnsgsgaiuE6I852azzC3WHZTXs/c/Fc6nlyev5xu4VDOc/FkUvzRMUHr0
We5wA4MkDGhimDeQmt0nPbgbiOUp4g1SpUiGyxYoYvVnZcDfF8d4u6xipv1vPmdHky206q7bQ9d3
VzLVMVRHu/lNX+HNyZmrOCbrkmg+wll+rSvbyIf53YT9XgW2q1ibZUvQnm68YZvWxW8LKe+XO8oU
kmfLROHNMnnmM7wwYznNYMLY6fp9NAGBiTP1w7PMJz+iIpB5ce6GBPm9/x0uNcyL0/PzBzQp1ekK
SUoq9815PYwx03KG7JfQXwdeCQ3SWgTV9v2rLF/GL1eBTgisSuC9tZbb/OJzgeSCTUORs7dg0K0s
wzhhSryagAsyTmPXeP9q/3YXzRdXe7M0qOSiJuK8sPeHUa7CKllFQ4GxbKHRVciiVyrLvr5/ybeF
wPN99D2KXzx6AQvyzatsijPXH0ceOxm79pVd2fl9JHoyzaqZEFEEUZu+ufWGyQenbbff3U74x9qx
Dj2S4v3QB8MWT8i4UqNXf9PaMs4mGvYrEwDch1lN7PpxtJYMfn7zYnrbOFl+bwsiKUwShy7yLyvO
bzHqVx2PUTL29mK0GTPypLUzbA3DIuINeNS69quRjISs3mLmsr9AytEYqaE9ewwPMblEwZX08eO8
f0udf1maNLcZFfCEO/xv+e8vFk0a5G4GVapDohhvzTB2NnRL9ZozGwP4Jmo/6sRKmcSgwN9UZOEe
dZmqUxsWQ7YpNIDoAVFdZrfpqplg/1uyDuHv+RiwKbTPo95Ul6Y7G2doIKoNx/5uM3qEBzT4/O/7
MTHuu8FHCWuRU6EQKO5oRzBts5S/7St97DLVwv3I+3UXOsFK5855bGcf+9HHAA37HgQYoy1FTCAI
ge6qCrz5QLTEMnHH904ZHJ5EPIlPTJrxIZSZQV7b9JRN1m3HNBevREQMsht3V/zkcvf+rf31AaHJ
zcGAp95G0ee9Way6jRyoi8uX3sZ4ovp4DWjrTCb6rp+BG/Z9If/4keSK9KBpDjkMCt72ZwOlB6Zz
ZKuoMPx/7J3JeuTGmmTfpfbQh8kxLGoTIyM4BBkckxt8ySSJGQ7AATiAp++DlLpaysxWdvW6Nlrc
KzEiMLrbb3bsYCl3W1jxN7jaV63D4jUPvZd//4U/P7cDqv8CZjHUpLL0+eGxpuJwqDg33T6binpl
D64+xNAHt4FNUcK/f9TPlyn6EAkIE3kdSepH91LcU1RI0QhvwWAQl9JorIPUvf+bA/jLT3GJSzLO
Anj14ykrqYYtO80BNLzWRGLC8HhBTCe4/fcfY/0gaPA84NegUmL+IgLL2++fN12eGpBGa3jW42jJ
Da3s2c4by5jYXyVXbqR8lhRc+ITd42MbPLd2vJdunv7usbToJv98YSx8WaY9aDoMENwfzl/TSHdO
B1/RSFX4oE3CYhfprNu5ukuDtePO7oHWaHCDpvwopPbPeZfpPeHQ4bqcZ+coctoa/v3Q2L/8TkyC
KRp1QtasP7xWYtcwjChx1L6K+4oohtiGJmRZGJrNTaRqvDA+jplCcCsXmIlOfZ1Oay817U0YVBKG
Bp1McAJv8ETh6NevwM7tdZN29f1UgfisO2Qddsb6WE3FjWF2v1Npf/0DQhRopq+kvp3l3P/tgRpZ
bVhOgeagJtM5bumL67UbPyY8xdYYV7JNpCxzXfpexxurLY9TMn8NUv9BtV546OuI4qKgHbaJCalb
4u15CNz5g5ay6ugEEEd0DfSbQLHBu6Irdm3a1L95JVjLaf/psvjbL/jh6qRFjS/MYGNPTUN8jEDC
HjsxVsRgzU2XtjzkSYqsssw8ONTYQAqkIuLfrwLnl1cB805GPtCGfzIrBhPPkkn0iuxY0kEyLwLx
xrLq1if+zOjVfJfFMD6TsUu+KcwK/RCvM2nTW+ownxliok6mojYBBRXsoaXLlW/3NaUmprmn7zVb
u1lsfUyVZfGo9O8J/WwFfpANlEjsd3iTrEGYV4agdGSWZNQG897DFrHGnNavax0q8Ztj/vPSLcDO
A7GAFQLs6B+HXMIOYE8ystk3WfFcRXt/yIqNMZvEt2ZQMP9+dH/x2CbjiHOXdT1/+MdBr2KSDG3E
UntSQ59hGkS8tWEWucB/f/NJy47rhyuJT1rmk64LFOTHgVETxT3ynuBKauOHHHbhMyok+lE5sZsQ
Uw4o2YTvfIw8K/nNJfSLt69HYhNFi6E9BIjlq/3tNuzitLGjjIlP709foi64Hf3mbLrRZ+F3b2x5
vd+8oL6vPX/6rYKicguxGpH6h7smHAw1pimXLNvw6tw7rHsmGm0m4LBrZ5g/zKh8QEMcN/FUs7hx
IQpRQIQkzGrl38/vLy8mxmC8WagH/4kvl6IzioSSrT0Fet3GrElcUaJF7D6V8Vok2ee/f9wvXpoe
YwZOMzOcn+ceXpjlS9aak4zcu49rK1rPfZD8Zo/4y+PLWI/R7HJ46bH65wnFSRyTb6rVnj1yuw4Y
f5CBykLYYoFx0Mrh7hzcfmNMDdEEiibXqAHFdhwMonve756RP2/KA1JLrJZN7iHwRT+cbD31Yk4U
MwhngPuDzhrvVDtfTwOBPPqdjHWtymqfLCRhmffmb24r61d3MKshDjbr9sD98VrrYoDjTmW2+wnr
3FvtUyQMMyzuTiq1qCXQnvS8NdBOmM7GBOBsNXhNIZib1IS2SnCX5DqNSV8PiUOuze46Ai+08Kn3
f78yfvE1Qap5hKwxrmDZ+eFdTlAnnUTlNXt6S4Bf4/HcuoopFWv59DeH5BcfBfKRqb3pI8MFP2o/
dHSpmqlOs0fQLj9ho/t3YJkJ6Rme+f/xs1iDCqaVi6T201MNAR9PeUDUTthpe8dE0NvJyY8us3bp
Bf4vofH2z6fH38WzXzzE+CRkEZaIPqLWD9e8Df8/kz2flNJ+vgEYXd+XcWNvebsxJhpLl1rSZPrN
4+OXh5L9NVxZz3KxA/3zRosJQXdhIpr9ZC/kPzGCoMhoymxNW/3moxiM/vyGYKVhhpj+CN3zxPrn
hwW5K/sY5X3vuS2ZPm9irAZa39UkgMsIB7XXEm32WJMX68YZtLFj50ijyoxOX96VgeDmSmFYhweo
DsWTXQ9o7i0Mln5TF0vdHQWpyVdyRUuFbyAUbMCCIb2qrJSOdn4SPVGeDGAvDgLNnbgaExJB+eY+
naAFb6XbwvJmOsYIoLeZThXuKOwdxpDR2zq4K+0XDPRp+UEKz4XUWLODSWCk09JJi1DeJo+qkNZ0
KCrUtX0CRMTdGmZtYVEYR2NPqH5QN4KCQEpCu36K7jxlFTTD9kRQd6VuqQVZ9W6YA13JBze+DnwS
3/Ty0UOw60VT3AM98SgsqwxJeAPX5GqKWwLgYZI+lQrvwmrsXZkd6DyNIR72tE/tpnyJQZRwBdqr
bGA7CY2TSHKxV0qHBPcHMVGmMEyReUlqPDLRHcra3tSlWBZXaRDYX30VoZf4UHzWcwDz6x7cCelC
2alsuqU/aLivUrcF52I0oX82ZUmIv6eYoT+wiB1JZEIogBAXU93i1jFtV0pl4b5qeUVtCUwj/5mG
DZKkgW78mCXNQosp6fRSbjJQt17XArxdf4fOu+sHUT9HtV28FOQIzl2FBzcq8eAZCz7cacJTT8wS
9vpuhNZ4BgO/Gtwk3uYzViXbzckJhnSQxf1wdLCIAWBUX7Pcc3F9w57us9HZ4bB5d/Gwb4dqgtcG
RnrvKW1uQ8a3FFfNFNdoaCxZFUIPcOvxze8YeLm4ZwmyDl/nxhMXgzOSExjJrafFE3Aqmj+95laE
Zbu1zCq9zR1a9yietC6DskiuHc35YLdAdjKlO2J2xF4Y1l0K1QDY0BgdYDnk6zHLexYVhKYL3hIb
pahuy4vxgPUXX/Y8Cf6Rn753Jmm3PQI4sjezmdOnQNyQrll6i3M/p5aO1iAq7IPbKHDPpZFQFq0D
Stzmdl5PVNVv4FLY+5ml6zmKi/oVzKF5VSU0ZQEr8jaj2bWfntHQgdhR7hcgWO99KcWhJV668qto
PFAbYR/U5MOfGYejbY27VNTWLhfTS2n2zUuVRhf4su7TfnrBEltttRki1PXRS+lRJsYdWAaHofer
HdAZwBPCeMjDIDqqyAFeFMsAliVogEI3MxiNcN7QIVKf09YYbpu4Dc6K2PBKO+qqmyJ/VYzEdBjz
f2AZrS8CpyP+SjwYd1kwfLqq61dTqonPb/Ih7WZCi7KpZoetuW22uPZJqHYPtLwCKLK5eJ5LYCKU
OzIap1qv4yFBaF5/qTn2N9jGad5afPRBbh0o2pjAe3dy51kzPbmgAXFRcbgjgRFbXWG3jLX6MiWt
r8iR2pGrYUYpu/1ChGGHvSgAaWXznfe+YctvNPXl9YWTF3a/KYPWH1YTKfrgyjA86Ii5H9BbTZ2F
gFNAXl4h0jbpRUs3GtCwvCo2Myz9hwRV/9YuMvuBntI8PeiM7hURps2Npe1gB6cYFP7YIMYlqTLf
PDNiPYm+u9RzmMUlDIX2W6eC2AMFSQY504SDrsZRefcuFoHPEHGfwBBhPDbfC2kYc8z4yJyp/Gwp
GYAkUCrrtRoxxbNFE6cQgtWXNKyw8iZq2nesWB6CyaWmDOo2F2MxbmVnN8eZCM/6+9zYdh31jArH
GCTDALbrhp4rISF9/JLEQfOtqenJJifSvOCrSC8yas4LSlE7qlomUz1DXaJl3JeaqXwkyo5qWcXN
AWOdzhAo8hv8B4L6B9s59A2ESyz99pZdadjucvZN5UVZM6SH+B4PT02kySIEFI4HqzBeaITSdCGg
AlRxDnWVUImqeY4c4zBL7k06glfSb3t7pzicxhMsR34ikYcwIYA481W9fHgi6dzr6ziKYhohsFhK
E/ythPd7BSuNv+rUgLEoZbkfOpuKelYizdGDX3XKtKpfke7sLcKZOMEzabxtRUxrN9N6tdNydMu9
7/vxqSBI5i/9aeLETdRwU3F2EeGhMpShe/KB5b61Q9zeuXNrPaiU403pzLSfJyCkQcJBNVp3uqS/
sLmrRVu/iWWHua68eWnnbrIUrKhIL8RYLoXHxASt1m2OdE+HV/Og6rcO0MLLQLiBLJPffJOLeYQZ
d8JhbSq60mPUiH0fduo91EqcXNLzejXIMD6NqSCyo72ynN7nzHGh1da2dijVZIIeTVdwdux6o8Ms
pkUtaJpVXCU05wV9H0FelWStaoIwp1RQxFh7SXxDbEO+ejGU5I4MVLKyjTmi0jlgESkwG23jLqAN
ozWjTWz0w2Vb8uPd0B8fAyPjuRhH6YWzgJ1r04hPfdh4AL0CwQqcjl0mFk5T0DoR4Q3qQkScDVAB
SlfLjn8BemuwimNddCRKagk5hvscGatSz9OEaB34g3r3Y2qio2gqDhaGdK7yPqE6tcaqcZ9SHPjk
SsLeay35krTY4WDo2vqrQ6n4vRHONHnXlU5Ok1dW1kq5VftSUIF4G3iqfzLrMSd9xum22yi4gvQS
nRt8RQcrp9AMnhE2HxYZCQAMjlqQJdOtGRvTpznLdG+MrqhWiPbR2YZZegBSAgXY0fxFOePdsczx
MTSZyMx6cA3MtUjiW4MGik+/RuZbRz1snxV6iyKA6xma5IyBIYonOdyadWp40dlN2HKRdSSdeCiH
wUv47VxJM23ePHo9lyuNZ1ZyAs8nrXVpzfKW5gZEXOqYONc4Jamb9BwoMOtQdZ8SB6tgdlFm66bU
zSflvdaTG2PNGbSyPsCG9z1xxrG542kxf0o7q9u1Z1dkktpM9B920M+Cc+Zz7dc1h8XjTa72ps6t
doVf13qY7cI4hx152tT3hg887s1dF1HR0Td2fdMNU/1lpNPjzuqC+BR5DZbYELZwqgLnwHOMwN4U
cH+DmOieG1oSTBBzgeIZL2l0PEicx5+sqP1r9sTRru4j2mzxEvjopp3TMxB2gteZFMZNVC7ouaIY
Llyv5NTw2rxyYEn3+Jrj9NZzVb2rIa4/tvVA9y7U1i6W/E+qphE3GmrnjZYTQSYM+1PtUrBJR0i1
FoPj7S2O14qJpgtqoeU+7JxyOlslDiQWIZr0HVAPCrRcSG7yvgvda3rgl2gfXZdR1+Ia6sPspkH/
MXsarrKyxopDa/zJ1CWZPJ8Ir+fMjNfN1LgeAc2fKmrz7r3IpvtkTPuYhy60QCoSOxAuwjyItDsO
01RsUu7NazPWLQ1ZfgWxmlwVS32WgNjlKauIv4ZU9x1yv8JjJgfnHbDMsUlNi0dawD8cRWmgZ4GY
7txL0o7uM+ttkxqYUb6FepkzyW6XoCwfmkj6TMsSFqREKKdnCh3jMw5yDZSpvvBk0WxCIsQxXkB5
Eej5K/pf+SUv/dnnncNBsg035kHPDmftTxP91lmeq0NumM5qiAzzlJcuBOa+Z/Bl9fWGFaq+BdNv
7iECqvu+oZHb0WF87hUf0ovIv+1NPIAI0xOQHlzJUKC8J3iCxUWa+k9jZlLTSLUz60CWcqQBqTiR
qU6u0wDhhmbPQ+TM1ltiRno3BIa570hlb4K0dzZ64GakF6ZbkYEOtzExsksWF+5z5op9JUa543bi
ASxxSq5irwn3IeVPn0Pe289j7Vo3YRnOuBZK96GmZ5MQZejuaHYTlyUVbU+W8P27aeAsiUGNzc5n
Xbhquzbe4neuP2ZGTfa6jrv0pgHgeJ9W8LFXULVpC6lJ9a/I0Kr1CDd5zQBhFc6dve59jwW9G2df
s2mEXE7rO+2kRbYSrnElp2y8m037uUuNkuxrs0sXs+SKGRsLMgJ0pSsW3KdkmQHSJ+cRSC1D0KXn
wKSZNSevdqmIyawjM4FrssQhnVacSqqzaEPWocXQglrhaZLDtScMXjslzjFuOK861vGYnYoMP/Wq
yWbcfm0LqBKOWMZtxAxtuA6jLnspbdfbYwWueOWMOFYb0hftqk+N8XZhB11NiNkLx34g19m3WX4M
CYOchU9UKfPHi4g6syFQ+XXBWb5U1dIW48qC4ajuaCJQ3RW6L6AyMKVEzsOXkJkp+5yvLVn+dZkI
/I41qPDMx1u4GobOehknejCl7b9Zs/cRtbJ5ZcVavIIukTy0lPHoF8LYOUMfbzvaie4mjxVLMVEM
t6I1mnYcWm5g+ZvjxWCDpjsajtTYdn1T+Rd0u+LIo0JGngwd4/+rJl+ekG+W6mvyuZIxQMFDSFr4
+ssyq+5siHh3UM8ogUonHqBZorv3QtnmW6Wy5L2JSKusbYM/2OACOIo2k/fAogP90rLi4bylbHJK
knG8JQyM1EUd8EbBEvuFtyXa2Yz3Er4kgiR0OdLsrI/Zmea0sB3jfFTvZS67d8yRi++czq3P3K1Q
FRZe76upMustpyCItlwXkIBqxugVmA6bcDdK6duu50i9G6I2SuKtQ+jTNSuq+6IZeTCoZNRy58fd
IHduqFE0+jHh8kjsfsHxV4W8T6jFEqwxZfQqLMF/E9YjPkw/C3OxcWlQq3HrU6u1GRTfEi4Sdqml
7p1f5dojH5qlbqUu01l07BvNaiDUrGudxjsWr/zl2QhADrga+XGTuOFk7I1pWQJ0TEgJfY9leJUl
plttvLZk0VpEHmfJmHnVrYuxj16HdqBxPu7JfsBYFeWn3fd8KnF4nOLadcLXPw+mGEAogcNyKIie
FYSBtW/No1yxn5B7JxQgBBtP5fQMLqIAzOcKEg+5/X2RZsg9OAtSNphUY1/UlGOGJ8Jl9DF2YhaX
Ey7Le6gadCzELvPWtY4afl/uC/SQtjbz7FLhYhj2Je3iyTU1A8Pn4KGNrnpb1Mk1iIXkIZ8Ge1/1
VfVcEly9o1e+oVSDOPQDpQZquhiR4aOT2/OjL+yBYDJSu8u3TquIk+dNY0VVE6GgYs054d5F+0+m
DboMR3EwOv79uSItlLJ7SVd/IkDUoD7STGXFPuzbhgFGuJDMiDjaI01E3D8rzemE84r+d9Spou2X
65AVnUjcOjuYXouIAiWioLUBJziEJNzKFv8tXbNQgnsTO2pFLQxm3Hmci1MyOOa6WZaQBdH0DlK/
nTxamWlvycSaR2bSZA7Lnl6QOBghy+fp0zwn+lHb4Oa/653/40H9nQf1z0Twf0nDS1/uXz24SyHv
f/4HzbzEFVCPabVNu+nw/p//Yf353/wfDyrxGeyk3ITEkVyHedf/9qCKPzz8YNzaeHwWvyL/11+o
nsUi9pfn1DH/wPBAqI9MJiFQ8DH/DTIPGeB/6rpsecD/LKwfJGTUa28Rmf82fgttSRukDIoLJ4i/
6By8R6d4DjEkfKkM774djItq0X2C0nphSWPten/a0aRw7BaNiFW9fXB0OR3UoiBVlhaHcFGVwCfW
GxIKFUXaYfs5Rbgg5aJDyUWRglBXvzJSNs/Gd71qUa6cAl2tDtJ0FxnVuO1j/5wtSpee000edOVl
pckroBksW8am2SrDtjfTopYhaq2boTxNCqZzvShqGdIaTv75ToDV2Ehf+7j8df+AJT+ndRFVDlwb
iiZCnV4UO9rinz23hPq5qHlYw5PrblH4skXrMxfVz4JksxWLEshSfusiDfZIhP2iFU6LalgiH8oe
0smA9r1pF20xXVTGfNEbnUV5rGH07cWiRraLLqkXhVK7qCQEn967Rb10Fx0zXRRNFjVfbVaQi0x3
5E1R7soUoTJblNC5qyiJQxzVi0paIpd2yKaoLKdo0VF7oxkvagdNbvSldQ4XvbVblFd8ObuS1s7Z
6spzjuvlKi0CCqwzJto5G7viuqUbTm/tYOApUzX5S8+O8Y5BPT1CyujWjlOxDK5j2iIbx4juqV0Q
l24OfW5llAI0Sec1PHXq9KaVhX6JQh6XGFXDp7F08gpORo9wI1G9kiEst0rTT0T4MLjzteY5R/IL
DcwexEXnBPUXP814Q2X+UDxVwHAuRYHSb1KofuNW39/4VoFAHpt1e4VYFGzq1LE4eKHdU0beox8o
u66OcKcjap+kWR3h+LFKbYLKbyg9zSHoWbJM6f6R8nJi4LGztZ+9+jbriw0NwNWWmVH0lNm8wgOC
JtuxTOU9HBLrxvGW6NYCgWK5m73WdcQbATYvr6yUVvJdmRnjtkNovJ0AXN30XR4T9YndcatStRDt
gKQ4nWa6LrB/btqGNEVjOsXThMz11vbkdgzH6bN1rDqOKki2TZsM4y0H0FgjTBOFolnKekArwuTX
8SfxTEz9BiTudEtiongSPY1UF0IN/HgYQdMZGDbfsZQgrPCPs8KUgtJ6h27WbR0U/EELA3GzLdq0
2k5DOW3GriQnxP23Tz0Ga1gg2fFGI6HzlZ90xVNtVenNRFPXO+TEYW/1Tv0hRvaTUS/BeyzfLMOd
G+yG3uLPg87w7+KllZPXnPDWTpQEd+64SGNGV34Wy0KtElX/oDJXr6UH9mKdLj/8+0aVGW736I8l
/2IRZfZBDDxENth0p60ZKuyC2s1ev19pmYDut5qxu/Ur8kLiMh3hKpCWlSddh6xzWJyhcSKwPLFc
s5/BtvMK7krXvwOd5x4kKOOzxZpu07bsSuy4B6xFhoynXu9WR9qhOGs2LT+7Qpfde+cn6U1lSu8E
53+6bOBenemiDM66McptwhWZr+ZQRK+hjU6mRQkgFo2dPzQEfKI/LYGXODHu5YzrcaYw976J2Y3J
ogu3389WqUsquuOJqI3KIxCfFi7Mtcw4cgA+xZXVKDdaUZtFZ6QXL/xZvZBmC7pzKRSlDyIIvoB0
ndZ2I9O1yuYbEL/koKfb3lAPQ8NafRDytUpRtIBBr8Pg2u569vXxbbKg/osuuSiz9hNUxGVIa/aq
Y0Vc2f55VA67h2TfefNTDJBzI8gqXUFS5kEXiW1OeY9dT3Id2JU8d7zHYAQvvmortbwzq59HmKzW
jQdUZ5NbQbzx/JrmUR/3Y1pON+kYbvSYbVQkj07lR7dWZ4wna7SzXSBjpjU68JI9aTMKvMLB3U50
dq185soXw0A/VRfkTbIxWuu9isf10NgfTUXavoH2eJnNvaJ8obQO2Gy/tVZ3UQXijtdksc6H3mFd
GkdfjNh+UUbwbeqxms+VKndAeTvcMBVG4NKZaDqd2UbarT2sa1Jv973jumsK1Ob3chAs15i/Lb6D
Xd2N91XW18fQzxEC6IcXYuYEp561G5s+WmV6ysl0WI80ItsrFq2HfJzKg0nE84JoHMVzQV/T75wD
rAh7tqNzvTOk/NKYPRPDShI/zE3/2HLhM73wzI0Yoi+mVTZQLhpyTtOnM9XnOg38j9RGA3N1Y776
iHYbcpgPNG9nX6fJcLbc6+CKnCZYmz38nAih++iGkQuld555HjhDcRFns8PiFcTfekZdCqP7plTv
ydRFWyCc0w3DVE2IA7pot16aJ6COzhS207NaXUnLuyl45t9xWbVLLat168yTu9V2X8FN7eFV5lUO
yl8R6lKWXX8osnJbEK0HwID0r9T1V/gM9qYJVLjJrOHFjChsMyVv+5C9BEbQ/hvRjC9Ufe7NqYke
tVXjrXfygVpbNBvpMlluXfEY4X5ee9yG7Kyq+CXIeA9XCv4TdoUrHbAhZpEQvLs+sDefPdZjPjXL
GgKECRNFbzrqLtIoknYU0Oc7ZI+Z37NpVm75AVQp+0AvK44hpeFLA2LEeNZAkvBcvaNA/Kjj0tnS
AWXegMqTdzATsRklDSsrZ3GG1G1wUw+1fq3MqXjVtuXceB1ZEcEKawU2fN7QP42Bv+xS1OOkgtgc
MW8LV96YxVcDoxLrqOzIontVzdRMhsBsg7gpTW6J+AmQnnHyrDZY5w6CKScRsnrUxsZ2yLP+Cq+V
yxVT0eAiG1Hb9LjQcSvGXt5ICjKPLnP+bdSIkg7HJnoiPtid0ZfSbDurhqqJLqwM+mkCcWClkO8t
UzbbdCyoh9BCutukHT8rSvJOVhl3j7pN9UWd+M2zR5E2hv6p2rAtZG/ra4rIQE6v8Vsd8pJVGCqy
cTQlD7DaspsLiU9tXbddxqxniph7WQFfq8AG4RZvvioCsICRPuWeYV63UdVSwyXbfWNj7+p1Hq1Z
M1yPTOUxsO5jO2YfHMxfsraV9SarBgbYumnXs5VbALNUsStds1vLNnf3s5yvxzShMYuR1sruI2cn
CjXczjlrvJxIM2+uIThNmml/kynNvDI3vjhdeEM1p/rQPkUrjTd1u7D24h0VwjDMnAZkXpumm76d
ucUx1S8zjDNvUHmqfDpD6rCfVsrU4smpx/2ox3ijHDB+nuPfjKlN02QQZHsckntgDWpdWGR0Bxl/
NOO0dzpeeUMji+2QZj2lGuN4TAcL/HumogMNiVdp3JzdSIiNTw0vcERvvIwy3KuMNowkt7bIuucw
5+lqXfo9XXxLzicprHoP4D2L7xzaETbcwkrHjPT0UuQTGvSrPMVxY7LbhYMAxd/XxTQeRta/85Vg
qZJD0y1zAb8qGzZjUIONFn0+ZnA8h76Xm9JLcT+pmLL4b0keMIlYeU4k7Qvehs/spe8MMxx2Jf0K
6AW9voctP2+taVY3cSbkLhuEe42w8NLMTrqda++chtJYZ3PXnROmlpsiFNmp8WvxpkY5rTO7mt8s
ZXXXuoT+mFrDRxtPDOOEPVwHw+BsfCArR3dk98PWXd0i9NhXCC7NOWapsrUjJNfJ8F+JukWrhoq8
r7qLJ6YhrUuPaEQo1EghM2SmSYW4qtbDkI7rCH2BVyW4EaTrdG8G4UO4kNJE7l7CoNNUTWTvvq2H
lduU7Q2x+XUh3W8JCVg0+TQ8TvHsVRSwLIv+GAnlzUQsfPdzkV1pEGis45V74Xgpw/0svDcJ1dCf
zFrGYFbe5Qcg6tSvzbM7XblM3+/qopyfi9YsrlVSfmMDSg+3tJseEaNbNJoqkpu0Sr41Zclb32jK
d3/wlmdW1HW7HqjOrrXM9gvLF29rM3k4dxF9UayBzk6aCZof5litLLtwjqYbNht/mrnT+ko/efCL
L5uaZsaZXiYCJ1NXnPKq8QWOFSd5wxBixqsoS8ddaYG14D24dMyyNZSsA4oweA9iajBgygrrzKwh
eKaDtv4yO2X1NicMYZHnHdfgke+H1bo3dUWRFON8sQz24eLLneLBuA2s+ZAu4/96MQLIxRKQLuYA
CKnUFX53DIgqoW41y7RE5pRcQjGLkuy7u6BajAaIdovpoPvLg8DqebEkjH8aFJzFrIBKNHwmi4HB
X6wM7WJqGHE35IvNgZ4On+2juspbOP11jBnCAzt4Gy8GCWexSuSLaWJe7BNiMVK0i6UiW8wVfLFH
Nn7Rxg8TuTMyLBjFdzfG/6g+/y+EZuyKFn64/7vqc3j/msh/aD5//hd/aT501fxhkuxdADQLFcYl
avCX5gMV5A/bAZhBQM8L/pY6dinEMU02cgBrGMx5ixj0lwLkWn9ALgkxbNNzHQI1cv5bEpD7g3mR
CBK5Zr4WQQ5Cjz9BSnIranpS+d4NuqRxiKNqbC6Bj/MINAKG7kvLlF3mDptNM/SK+zmtRfhGSvQj
wfN+7/o5WHdLOg/gysCZ+0Z6iRt2RJ+0AwYmNeTNkimPCuXGYM3XnRkPxUAZYq2bR7NqKCOAU1k4
5WUepmrPCj7Lbnxiz2yZmiLYMYKuDmU0YQDMemDCkxVvqrJwN8R2xA6nHsW7wCPvKKij3SaDQH8F
Qbm+Ur3d7SdvaI522Op3ag5e3bJjZRcq8wuNOv7erNP6tS1zc83axmPorL46bUb7CVYfNhm+3SaX
85SMF2Yt3R0nyripMiNijO0Pu4SwHtUQLZCCocUM0lvlsBOq4Da3qfU9GUliP0PqWMLb9YY0Wb1W
aWKeJ6JD565vQJd05nMh0vBxFON0GqvR2dd2+DyOgUcr3rSOnKG8czNoz27f2jdtWbaHHjFibWZp
elVCPjkIL0mvQ6P4GnYNWywcr1uBq+GSzr1wX0hjeIPZHx0maA27vLKKD5r1IC1ngfWxZG5hq6pW
XoR2+tETANwylRpfhBVoarJTaIdNHcTrpiyCV9vuiV74WcKxkc9lWj43Bh9NdRj+1kQPOPepgGXh
J7fkn/y1gLBD/zJAYmCc7Iksmj7D8t6fRwIFzOHqw3JFPjYgNXbMM5nGoEDlFygZTbpKfJ/ANg3l
m8rg/bs3mWFP2ERp4Fl5EEvObm7lt9Ok5lOkE/qGZpLOiWMbbGHMUfApjkQi8929mxXYH0vDSe+1
p4orOKDTVcLi6ZpQHlmuJNK3um3aXaXU+K0L3IK2FtPp1n1u1J8hZkeKYLVr7Us/01cs0dKLEX7h
VRcFSHqjp+P3BPvAuqiZKxNVrmBA97V/aaE2yFXaLZDwajJXXhvOxQp0NKSYxhvCVQxZ/MkZJxJT
TFpsHEp5w7uCavONHSfDjt45XE1GCXZClnZ4OZQl2/mudjFhsKJrd6Eer9KGL+U3Xn1U86QeY96L
5Wqgb/ZTot1tg6AIqXjNvatWGO/eLAgEJUlGB28UM4xuqS9ZjTMGfAdvErWHZviMIJUvkGQ6ixA9
y4CxW0GM7I3Kx2Jns3f/llNcANOxHJK1N4As1S2LALbR+iWUrnMLccMnKRFEu55u4nhd5Xq6lNqg
nCpAZz7CA6LGpoyMZEv/0XyLlVDCquHN7Hkkl7rRwX3I+O1cYFcAqar7J9xOEj9lhX86i3KDTXKc
Xho1Y3NRhkFJXQU/yZOsvlZ2ESoSWxpTUjtMW2seMpZX0bRNdTA/DpTwrQbdWLuEoq9NQu07Y2s3
uk6Cqr31qFexoqB9AFLlnUOnv2grZz5pVgxrOVJ503Nboyzb44F6GBb32pO32K0NLJiWopSwDqb7
/8XemS03jmRb9ocaZY4ZeAVnUqREagrpBaaQIjADjhmOr++F6Cy7mXHLsrrey6yyLB8iUhJFwv3s
s/faWZvLc9EOxhPo4PQdo0K91hyG935sxoOnkjg8lLCbHqe0pl6IkcGcpDhz72SErsZrZNXNnUol
yHcS8RfsBOUKMS1eUZID8UbU/joyR3GYa/0Lrd25SIvOK+zfxqFoeydI9Ba2eCkNKMRhtGvICa8B
zj1pLohgfIpm98iQpX4UgpbBWXPVHraOdXVVjfjd6KhITCDxSk/sbId/Tq6TkAe5MObulMT99Fzm
AiqvLKOV4w3OGdYJ/U0VDyKfpN46xLLyZlYi3itcyittyokkWmCa0Ets541DcMaD5Ws/dBjGkJ9j
c0Wuu/+Zwg+7WHZS3dra0TGvUFNU1eIjmotoQ4NFvjaqYSC/3mrUUeETfzPmqLtrivzWoooeoQ6W
K7Np5AkTS/cwl0wB4+TND0KndKylLq0Ouj6cYZM5za6wmCS5oXrrNvOocHFj60e0KDtQJz+pycBq
yzMzX/rX4gWMo93FGjpIJe3xVWKHXlm6nG/k233kycp5I0LDZ8N0JGZXDxtWkk0wfnqNB1aEh8VO
rPcMIF/gubQ762FZ7mZR6R8jtFJ01vmZ8SFcGaMy9vbgyAJDdYhJLNEnvGkz7aB+fpuFfuD2IAK/
MXVnkwkQ4+S2bX9NNcJ1lFn0qk02SZq+aANFU+dDmreqDLQ6Gl9E5NRH36zdY0RriscTNPT3PDex
iHTiroUQdJvn/qEHHQerDacofr5sZfPee0qVUSyW1ICPRLIraU25c2Yo1b6n3TLUY2blpqJ826RB
DpO4t4cQ128jr8s3mECLlfBCOh1ktqtwrh0WaRRJCFPRKDE48YGKt32BKy3qehDxDIh4bMPiLoJU
zlEUjh9xIuROG4RzmofW/dTdPP/etFK72G0DlqqwHzG1PwtlETL3w5rBx3QPTQely+tdinpsd3iG
09Mf8fJ8pHPaHeKUBFCdJQtlAI28n3NMspMWtceEOY7FTmTd2qisHubFQort1h4IUF4xUBlv2N3G
O+wcQ8x+Oxxe9STR9vk82HeFhHlmJPa2MtN6RdAL9cF6oafHCgQu8Q1kzDBw6ft+8r1I7nq8ifcY
VPTV1ErswnX4w2NJsELBjXfoW8xcKA/7lhj/XUzPHh2lWUSrXcsKvR2qtZxxK1mOPf8kWPAUAzdf
GVnqPmYh30KnZ+xq8FQGTmqeB56q1Kfp72HL2EAzO3ZTql9zUkU4taY7KNTWc15nLEhwZW5AOA8L
hdXfJlMWvje9msgcJ807UwojrA+4FID9cHDHtKfIs30fqfljHVHodEQM4AWYGvM+/tB6m62FApng
eul89H0yCFmUn6bu5FYE1InDFMPFysm5kfXEhSPc/DnVnPKRS1V2KmuPo97WGYiSMaPnqqo6fQcE
QF5wqW0Lx5Q7bxLNGQcpgYvJ1nZxahVbERvRHWx9HjtG2u8jpkaUOozSDwha04ESCWRXr2/WKk1t
tm/je6vzrMXba8sd4/18L9kCLc3L+rGi6WFre+P00Xuhlwdtjcs0zFrHDrI8qsvAYf+xtqt5+iyz
WL47JGwF19yPIgLhzjfys+iLepuiU1QrVWrNQbXCo/kg0/bR3GQOLa9ZAbTOysqznAz2MRnF9+NQ
1PEKrxllT42BQ2QeOdIczAG2v6xvsvSee++qS0S+HbFVbEUoOUHHUD/OPAfQObltxp4n9qGpiZ8e
obigU/kQ9B1rjcrpgMgt/gauHs2GhOnVxptuojAppJ+wXVZ/Bt4EftXvJE+jvTGF4cYte+B5rCEy
Vmp9u2Jn0a7rETg60fvQ/VbHovG3eu8uOQZxdSUHUsAmIsWa3umfk3RzyromHgj0QrD9yYxtWM5E
bR69KexTQBSDF1efSV8MbD+LMveLJ3eKIQUeQ9tLslM30bb3NKqBVw0rz6RpKvBLbspB2uDQN1kd
6i4lixgu1ljiM3et4qhca12YdsSM1fQD8F38Nfp8h9wR7G/8nepdw/m9VcYgDwiJUxPoA1l0DKjJ
sR+8+lxL/nTVOtUbjXCBmamGYluPfJKPgNEjEe0SCBlVEMmp/GpCoZ+rZPIOQLFnPsEMcxe3d55m
TNlBzdbry8ohdYIxnOUJRsa4YRPQ3JoC/F7qFA3bJVlcxRjHuE4qhQgbj/3eyjtveRqoNbc+Y11Z
XGGMsS0wICfZ3mlya4OTyziJssVLJiCAJjgKqfCLp7XtqMKEgs3XE1RNAAgZrNcW09BEVkUiULf6
Ugkuclq1eeVuI7mrFZUf6o0Kl/soBWISiNyfHlmiReshpb5u1fWzOCsZGau0a9t1Y+YTu1bbc3rc
Q9KjBLuRLMHZbWAzw9sbtPBVj1ORpk+Rl3dvHVdPZqZ2uKhyjh4Le2633vJih0Wc7qgJXLonjQIO
RziM1GOW07BxeikOKm3rxzAsRLdOKv5oz2LtkLVNeesin9hJrdcvtIzp33T8u9/KisrJwhV3loFX
ihWO0PamIbFglz6KUD+Ik+sX8hEve1uuw1CW7hnrlnUt4/rDnRuWO3KeIqK4sZhXHhmXZJXMkYWL
FgfVfZar/DUVrLE8GvR29AdRda163dgxCnXPCDjjFx0X5kriacS8FMk131G5TRvEo/UELw41v7PR
9GvcwF1NBHoN0WX8PnPr48av2fRLVpN6qCnii9elnye3JsI9K+qZTSKeZ2PTepq+MVwCdWzSk0M8
z+kdaeLkUFBuf8HdxwA7ObyZhPY996r5GVZfaAeO7vDDsRSqNsLO1Csl6Cye9GEUdDe7872m6PTM
wRvgJx3yW7nck6i2cDAcs2rRawFowADSCl2abS7K6r5MQx0zLKlf5s/lIqvbzZ1tcrnGC7143Gb8
CqoeXRx35BPrb1U3esW9nqWtSRTFYRirdU4BggJt7K362EHuxvjpzF8au5rxQf/VZhazikvKQVOv
HdDe6WkeNRa/gdYx8HYPvWhhMMNqcQ2XOhKzmcYTL0njEYyJ6piVc6tX7Gn+T2ENbWyxTrzM0bQL
Nbd+yvNievmT/PMv8qD6klr/U8gcCj0kMBvqCrcy1B37t2ympOSUJgh9vEB2steab8SInyDpp+Kg
EWIMo3dw0LshNY5mZm81q9nasb7x3PAs+3nTVt2GH3XnzymxjP8Q1P3/vjcHkBdRfygtv5OECn2o
SwFE/iJlc3Eld8VwnwyXv38Ffgun/voiOIoIXaPnCvf3F8BOu4mhdxgviQE3iX8cLd+WbrX99WX+
a0T7N0Y0Q4dN86ffyP8yoi2V28v/pEz+LEz+8ff+aUajAU4gSuooiSb2U4f/5B/CpE8DnAWbTDf4
zf5LF5pOEhickEGnhOPa3n+iQTre8nn40+cFHPOCXoSL5ZimD0D+t3hxwm7MzsgUHIqULRu0p3mr
GS2m3rmgc8DuYrFH4eJwMPQOg61eq8zigbFslq1KPVOIiOeHIiaSvVXGsYghR8F2zZaiJNpzSYMp
jaWAzJqZ1VKa9PMpTFzVb8pWGhsTlf/M9VLs+S7RLFVsTdlliMvhh8sxSMFKkszbhqgahWdABm8A
bVxWAeG0A3OGFdnl+5Umq0EXwPixsifsNk45lWznl8BNSDnzB7SJeYtBL1uXPVRWRepUDxwk11Lu
c47UvnnUw7nXjt4Us2lSGqDGryEyI2fLvUUzXsQQRsmm6KOpITQYa/ZbLHzFdOaPfhcTUjThHwdj
UcvxoTbcPmbk8MboMvtEqrZVhnB6GyPhbDnxi9oKkqgQHl3T6JBrzjnTPtA8yp+M9Nh3v01NJsud
Uwvu/VrGPdoh7YhRTG9p9SJ1OpseCDZHx3AUFE5I+p4MWPS9mFV0P7iq2lRiztlqoC3IQI9q79vc
T50GlnCcNlgb3F3vzGzdR4zSYmg+7bQeLkwLoiXNF5n7HMz0dU6Maj2G4YAR/EqjTb4rmkKcYdhD
0/W3shm8dDVQOEDAa9zWVi0faiqueMNIpuWuT6oVXIXwOmDwfc4Yo75BGcsCN0dSMUmQcY/O7B/4
DdMbIPMpqGkO57jV/G1M8PzQeb75ltotHZmAYteJ25QHIo9YI8J8D/E7v8V5ml1ZvLP/drXI5QZa
7zR9dI5tVVLurJ7cshmAG/h++92uiGoVWexipzCTQxY5dPmOOBupLWg3C50HJTPJn6uBtGWNqXkX
TZX/6UQkIYImbNIHzGn1RzToNpOjVOLiK4+hpEt1jRWQs2Q0xRI/aqXajXU9v5hG/pRqjK4Yc2RE
wCL7TAxHf3EQq9YWw9MW8Jp1ILM7BPDCi0Njjj+YAryPeWL768sKE8cQR91HM7ebdE4A7sQcupkc
T2SzbUJcbMiBpphF4ERhtW/gAR/oQHPOxG30twkf/AVXD/3GxtgdAJDkh9JS9K5TWvfUAgK8NzEH
7DOzME8jcekL5WHznvuSfZVMrZd+kOm3mijgG79RVqVTb576ih5tjN5k7mYr/yRoQj8rNgb3mDTm
zKTXDXdFR5yBkjB9CFi0ujeVdvB+YfjxWDGn5OypxrwSHXBYIfKR2OdTwxpicZ8eKZQ373uvb++G
xkxeIVlPA/elUZwlIeNzF2f1U5+xdk4ShFdci+VGmxL/jfRA+tIMTnfq7MrXNlPvpkfggLOx1Yu4
eLCFHx64VI6QL2BECBZ3W2B39k97aOqd5TrqdUoNUqy+RkWrLA6dHZ5pf+N62seCOlzCLnoZHQxf
npS9rAd8M5CZ1X+xRYXUTE54L3AkBiUzCbsRjHHY+dytEQsAW5NTf8eY1Z9EPSbb3FKgBEprvKaV
XV9Ysqt91fTmlWYU9a1n+/lJieNw5QUJ7ydg3K9UDOsrWE/Fms9Jt65Qo/cjBZw7aaVOHRR9lT3L
BMY1v3Y+LdpYE0XM5JdJwnlHfHlqgfwxmKA5MDMWTffg6pRU0NursHkaSCoehp+fM2sfDdRQSLBb
EGHzKWgk7zic47B4kANWCqMyom8G0jYpd7/eTqbCMCRUIs64BsTZ7zL/oiGZX9U0oCrpraJEs9Lx
6OfTfc4+Ow90PqjHHkfmerYWxG44dmi6XGCPJKKwoXhwFngxynNfYy5yTR41FKqfNAfus1FbOoip
wjZWotPCFYIlJoV0ZHocNa/BgNem6b5Vbf09c1wsF2R9OEvoe2F8e0+pXTrkrQ0xwEqSJ71J21vk
du7F6BQlaT1k/gBZqn5uy96/TIzmZ2K32gcpU7Q/XR9veVLhGOHT496V46i+FHlItYLTbu/L0h6P
WlQMO8Blw2XoGvNo5MZSeVbXL6Nttw+TrcK1sqBtm8kUXznZ5Jvj99V3ryvdnwreeh44XYuLw4++
RiwZCGKzT7W9JIXs9Sc1cZklJNqttGrxcfhaqx08bvLMRW0+fMjC03PSmKMJD2TWwGTHVv0S9mW3
qVzq6Ty7YIa0nTT7WVog4Ft/qF+9qHScjVVFxXczirxdSQLn3CPFnwYPeRkEQHOIfW+Pr9wgEmVw
vhF96PJLZwn/PvWK9pzpqtv0Xlsd60rrzuyinHVqZfZlzMlhakPZv3qWDbxd+sPChdAQDlpz7K8y
ar27WfPVD2H2eR/4fcJx7fMan/Kx057iGN26TioePRlkXdQA4mHLQ1s6eCdQRgCXVvduVpqXRIQl
jyUcvZmXK9gXKBc7twNZzXtiTMyV4WtsL7EwrCZc0B8ZmaetSMwPq2+rsxaV9qMXLR4JMZl3IyFM
HoPKoLZ+Fit2suflF0j5mUnqsSPxqspk7bNEOPdelx4iozKDJka3rCLDfHa9bthMLjdu0IGLNy4t
GYpg5rN+wf+SJVisKlNi+BHt1cX5+tnFDQZHvZPzuh8H/5HollxYHAaaGlFyO0xja1Vo0nrIwprU
njFM/jWPSozsMYfsKMw7L2wQ/YmuinONFtJZznT0O8NDb9LqH3GfEFmBZYT23NWEyDQCcS0qNZRd
1T4gacqHTMl6n8aGsZ9Mu1zNoEpW40jj9A5Yn/vKXcB4mkyfJBxcFfenV2j9W1GxBA4z+Q0p1N1o
qX81jaZN+fkEPDruKe0eDgORy7RL4+MoG+3gEOShYxaCMaIsJQqfiUSFWfgd49Ho0U0qjjeVeRFv
TavFz53ZDyF3062ecFhTSm+l2xGKA1X19cz9Y+IhfDGjvl63dfMC7am4p5bUkqtwFtaO8w4WhtVn
a8pU1VZLdHdvVLl37+qAY+F0JW9c0JyWyj8yY7UK971MQyS2zMcQqpPIO9h5pK94Z9ONWEkWb401
pTbVdBXX16GltFHLxpvTNHFAmmE8OEJR6ZhhLgly02l4c/juFxffeGNZmbHDLzqDpzGWPTc3VYx7
hhgfB5FHzyKr8mdSRd7WitrZWtlhjVCddf5pzhxuK5EdHgSrbuQnupiXOBMnWOAN4SHpB6KWNEqm
x7RDH6N8UU96rpgIBEVtRO0Ps0jdFlJMRqGQJwOz9u7CAY196rzmiL2/vtIYbJ4tq1EXv270tZ8l
0aqL6ukYl+O8ibj4f5sd75RazlPkJOOahdyFeiWdn9I6Fpmrvycu0nKjchBEoUO41i0o+MJ/esCe
hWWIhdO6xvi8keb80cTqe+JqV0/i3oOn7qxzuoGReROxIqU17oSpwWIlEIZIb5ySXEfaTqNnfi3m
tifyTTzd/xVbCQMtT+4HKzHPrW296Ysle6GBw0LJ8nWWQUGTRc4LQ0c9y3AlA6CmsJddLOWYP80F
IrRFrlRHLxnuY4KPL2ZDa+eKZB+SKYSGLTwmg33dRKFwhttspqaduCJUCGLMARZM801pxrRLE3KU
LEV3fmi796g/sMadMjuXvP0+tNZFL7LDp6Jrnb3UQnW0jVacYzwB64EtN36rhmOujZNDIl3aJ1uC
oEiW9kphsyMu3EUXsr2c7Fmq7qEW5OvUY7kxdwVzAo7MFfVA/4489ZuQwmDoQAQBCGEtBDXmw7/m
k+LQUnnSe8khLRbahza5QJRmj6c0nkHQJRhIPiV3qZIjW2TrP43M/0LG+U3E+PXFsdlAhQEdB1b9
ty8+J2XjqFkmB32qms85bco7meTxvQdM5vb3X2ohhP11AGae8fhnmX4xAv32pZI6SZ0pLvhS0qhJ
YegeAloJqOXH33+d3/F8y88ECs/yGfpxqMB8++sLmlWE15vMjRaEqdrSo2YdnIWUkpdJ91DDAvfv
Bj8WCb/04kO6OGR5qkTxPVntZbgOY767v/+W/vev2KUXDwoikTdmWve32b8XnRd3TBkUuJTzmQ5h
nKvpUudt5T4hVBHFzefUD/yeMdwcf33t/+pH/0Y/0rFD8Hv4G0sbzdUlRKo/i0d//KV/ikfuP4hF
GJQy2KSbcK/x3/sf8cheiLALHNgHnbwUbfyhIVnGP8gaUv8GQdXlm1jcaH/42kznHwt+Gyig7wCp
FKhR/0G0EY79bx8pAJ8uyWNcdJj1TdSqv77TE4dKllxv4+NUk84KRlnZgU1I4iRrF6uQmnQL9hfm
WJnVTNgL7BBv1eDZePJbDAj7Ri+g/HpV7hzn2bXCTT5U8xh0dLxcSXwU1k5P0ZWumZ82rzWBeHsF
hiNKVyrMAaYNSCtsWgs6fHJGLyPoCzET7oP3eOenjstyZGzmw6zPnRWUKeWTbKPNZjMAekKeGCuo
WW0ocQB7Wv2da4/7+SvogyoBamEWZhnEMu/alfJsw17rPMKNO9/o4nXrF855tAhuFUN/a0Ekbd0W
qmvAIlCYLIb05FGmqbpOseguVBMXtyW1Vm7cqdIgW3hTZDNHigi3QCpvuS3JeEVjjaOmUvsIxvzR
kE1yQrbfYUJv4NtUSbW1S7JdRhsT8++o0tLXExeIrdW5xmvuY+lOzCZ/1A2AfH5svUeQVe7tSvlr
kF3mQ2+kzWGoFPXKuvEQO3O7BkbFlU5hnp4klx+TC+3FLMebLdiJ2nnOeSAnN/4ENCKZoMHO4YDK
TnpRQBZxpvrGBO/yssdJdGZtaV3GuDT53vq5vxPjpjaq6hJy9/uZDo6/HeDUUwcPUDtq3PZmOD5D
MK5nPYS34WhxDX+B/4O28EpXkB40ONxWMrePtHdhckcXekyb1ryZkz+dTOmOD0kr4Cxl8feUHosP
u3JGWp6mE9YmtbbBQAR0NFlsgqR2HaqpeMybrMAxlbcXw8xiqp1BZIR+dm3ytLtoU9avaMFun3EL
U2XbGtNFAUNbSziHG93mO9VgmqwXlfBp9lxC/DnNRz0NTBVOjTJNyd1IqZ/MuBZHJfqvnD9PP5WV
X92B9ss1uVj/5oJ7u3okxrFQhSn2TaB/F0vDEpdKNhIZZJXdrPXlTRi8oyl26u6MzLJOKjcC2aAo
sfptzxVNK2/4yMCHal0XH6001tfgvfIas8hgressG3csfqOtVvcnKg7bo4id8zC0NTQHp1xa8rhZ
exRk7c0yHzJ2jICDJgEBrA8Jozpz96Ix35BzuXnkJrehe7IGGAZEUUjT9OlDbDb3GlFFXTX+2s+t
G7urnHpX+dlK11105he1QKgx1L8XbpNvye13alUkxsm2GGSIjp1y9aVFxDQqBiM4V+LV6n0CZSiK
ezkO2nn0fCb7XkbUXltvPAzbe0MW01bDVUl/T2QfVN1aLxakJBCAbovxrYG+QMjDSbWjy8ovAFfx
Bm2n3vRu0exywqwsTo9zl9x1RRcHdUfAmKxlGbKCJhQeECoo6HNIi804ymSbjem0slil3bzQzBFs
7OgAkhomHVv9A2UA07WY8nlXdgx+gIKa3ZxNztlqBkglzAqNssJsjYFtvI5W90JgTNtrtWJytmg3
5wNWtdYoyLBpHMbrWsdX8aDC0SzuYCVcisb7XjFhbhxn9p9StopbOmEo0UI3elCml9yTl/goLYnb
h6Zfbqr6hyOpYQviRnTvbcOPDF1NrhuavU5RXmLhMGze0iJCRiisnP1gnD8oHrtBPPG8owEKZotb
qve596Hlhjyfh573YKIm9e6riUGvSET9WDcE7wTKVOSVxX1FwBSapM9e84EZhuyfZKe+YzvLsjC3
BwELJK0OCHzQrZKyo0FDlv6tS92fSKDjKjJgVYyxh0IAop8YD6qWF3C1LqpwZSVFP2G86G3MojJx
tK0+Q7fzjK7Yqhgxg4c7dripf4lz1erWXg0oyEUp4p6zRas/Mw0gEcVjKYhUpH+D/XLjVSSzq8nb
Zz0GmrvJapwrnb3Vo9mEfESykbceTqfB/tbqSXOM50K1Af0j9veOd3+y0mlDwMenha4FdU26N1o4
PZbMZDSOFRfDI4Omtu38tIz2Yd0dFGzW+zjv80f4aKYbNAOU0DgLeeP68xi/gdFtN4NhFXs9ieIP
j62xH4AyBNEeqc66i8xGx51kSdYA80jTyyBxSozmMCCeTjP5Eh7tP8vMYrULB3w8d0PbPqjJqAVQ
MIV8NhOSYkoH3jYFEM77VwE456NuRPLGmUyEGrTFmehTcc/Y6P8UU9wDj8xD86bBBnnVsny+FMI9
QDfG5lyYzpdd+nZCiMusewSDgZgMHNCDXQ2Hgqctzee6odYqbxZ7esiriNEr9l76Qdl3WJvyLy0V
KeGd3gCn68hkvIa15bxwjvgbShJJcGGR1zAPuTJkE6JzgW2SafrM2IpbPIwiMnJZOSw8cwIshYq1
B+74Lf0bZtG8gZrMLmYuI/quw85ykYeKGXZCnX1ZXZ3diKE85m0+GvgOyvCA4bkgshnzYWUOq+/n
2oRv0o6tpwLUDALqitbZs8zj8c0eFSq+F9fvVOEO2xJRhA1E5Ef0stRKOzZ6OjxAp8UFZLaN9mkJ
RfsQXCP48pDL9r0L5g+BZpTvfjSV3kqxXjtIvTNBECRpjfXGLdLX2kssK/Aqs7vRfAeWQZvMmryi
zA985iCh9IaQijFiqmnmjP2N6TbiLfS70NqUicimtT5o9q7PreQW+lLsMEKzQMHySmrdQ1rm8Yxh
0NYHHMqZ4d6psauPetw5a0daYq2GviUPyRtuqdpcUcZgbWpBJBKUYLcBgetbyL/yqvdtt27ZP97l
2oB04RL6WU9uKg+tazVlUORl85Y1aYfZLOpbfQUivfqWKQACmw6iTg22r55/wPs1z6HAvWwazncr
iv1nNy6LD5aO1daMCQivecSHRaCGjLjZ6Gc8ETH2i0PiCvfsz5b7PtACSepRktE2IntmX2Mq87s7
kjPoQt18YY1HhtsrzEUkb7DOl5VR7aG58K/Z3GfeHhKVunlocMNqMmL9Y/AHWFtI/u+4O7qr7ZPC
XKWTId76mQvkJhJjz3tJtH0A+kD/8mt8yZuwcCL2jFUafiO4VD6TSHXarVnG06lve4UvQdMAjzX0
QxawUg9plD2IuU9YxbiXSA2gPIoBYpW2ITCLOVl1/tXqfHHpyY2xwSiwsdugJ+6dnLuhp0furiaJ
JilUHKzvdP8YkO4rGb0gjrnYuosRc6Kumbpa6W0i0Oqj6NJ2xrwZQWsfjDQnHm/Z3XqWZr7thejv
dBzkTt8UP+LU6CFR9477w6F2ksAjEfd15nTNc0Sq5btjVeF2qATIV36b8xIdtfpzbEz0nXLNIusc
2liCkiZKLRQbK/2SxAvLAPMCYTAtznm0mOO5wnb8modT/oTBKt6JxNaYD8L+rsETzJ6BwqtT1hT+
KhLcEYsxOnogEdtt2dT93kv8Goq1EWXfWg9Nj8rJkZVHnNhkp6U0nA2u+vm0dDkfR8fS7/gJ8zuD
HcFnOCcd9I+u2xeyHraRvxSd5pG5NrL5VVIE2690Q28+Igy+D2ZdY64WSXP475T8/xf8ojTpb6fk
avwr68f69Rf+mJB98Q8dFh5jM+IV2tI/p2MHawVrViCPoKgMQIL/Mx2by3SskydldF66E5CJ/piO
Lbg/jusTr2fSZh3I3/oPpmNAXX+djgHZQsY3HcPEnsOcbC7A9z+Bf1TRdUPpJjAd62I6aWkLfjUz
shvSe/ZVlMN8INrJuYS9kDMq+3Vc/Tq4fp1hodtqD3yuOdl4nA0PltmFL9nMPHOql0Mw7sgPHapf
p1RY9qa2ApjGkamHXJgpMXpRdjdee5AzON1UkQNXRUv8GpbDd6h77yWeqpRLwa/Tuft1UpfLoc0Z
dIiXY3xYDvT019nu/Drny+XIR/DKf5TcAiIAdJfUnwaggbV14yLDbYFtcvizW64QkTacM4zKPIHL
JH2bl6uGFUbD60RafmWoNv4Jg4X7CERNjCXN5D4A2POL9aTM9iG1o+lMdzm9lT5wjZ9uoWnXqkxx
QLtDEV0GzaDq7tddiP0S96KxMq07I04zCtrSWeccHjFJz9S6YHMI2w3QhvhNVya0CtMrvF276BkB
Q3z+qHQIwb3dc29hXb5PxjzaEZT30G6tYSeqSSIHF4XzWMQRCE66FHI3UIrnG1OLQdNuTO6LwJxV
+V+K3ZJELWhcMlP5wODlI9oaYVYf+zBLNzg2weAyFZOJryf/1EDW/qWYlIRupXcBKgoNHpZqfxvc
ot5HKmZ3r4n2e6yFXrfykyKvVhYtHo8167MjiGvuR1DsrpWfs17SZJnf6xiGBdi4Ob1PHFWR4bbd
4Vve4zRweqvzEBUqrILxrNhlh5HrH4lUhh00yjHd5DDO7glX8MCfEi4ipC5wwo8TYSuRtN2xSwsz
xlQzRQ9eJ39CmVb9XnRznaw1gDE/wRXmVgDVKacrwZq7z7IxHW0fYvBmTTmlh8Es683sq3TBQDts
NKl3f3DGhiOPU3bra2bjBqmJaK9XPoLKRGnR/czKNH2pBfSY4QqQj30hSgmD744ld3IblRs/EOJS
ev7Fb9dAaYfFnfDaTlaJk/pOzA02ngsds0V4iVpCPoVeYcq0ugEr7ugQHNKN58jja4BeWFPN82i1
U4SLBuvhqtPZpO/DUl/IINw/mPSd1eAb7pGLebYFK1jw8aZ2ZTFEySgbA7fkCEIhrjatkMWq7vRw
m8aZCjS3M2A2+CSVI7NgUaifjM7H1yx0l2WRdcPrt89HYd/N0gpXSjRMLKJUe8QWXvce/CcBNIsl
c+k1vAOtshYXDY3HWbdtb64YXkgWkMQ/Gvh4NgmS1gG5ZLzrwceuR1KLu9pmnCPzNtcnp637Iz7+
4qb00iqDpHLsHatMEqR+e51jPphZlf6cPfNZ10gG5l725TWVtU4dqMNVkrZPWm/kl3yc3BU10nGQ
TLb+2Fj4i7hkITL43OVxGzBCY0mPgbFEHttrfK5Dnz0QLXjxrSZfRcCQA/al+7SLbrhsYtg8eroK
gV6s0kQMdjBBndg3s0MgJnOWV/v/sncmy5EbWRb9lf4BlMEdgwPbmCMYwZlJZm5gzEwR8zzj6/t4
qKpMyeqSuvalnUxiDAiH4/l7955bjs+wHCKaMbN/VKS3kRXpDgiFE/nowkbesD2lWxrxzhEHXA7D
G3nHimljf3H81NwSZY43A3X0q5XZ9pvKnWQTpRzHJ4DhJ9V36lkp1BzV6GYTm1TLnkL/i5NM7ATG
DxMyI/EDabjcmRC+OdKGCcHh7I0pIu1DuZA03hs+pABh+NM2bMNpF8iF8MbCzNeguwnHidP6Nkev
sFdNrksb+W662DiwCZEFHoDzRX7RbfG6gQmyuCgP4C/TbbDQrsHIknG1pZVwo3pon37EBFlwza2B
s3M8EUYRAXk7x3QH7pLWQyxtOlBIipQYcKaRW9OrSDGzVb9rWi9/oxfk3UddyGki5Od/Sxj5SqfH
BpROxZ0YCJWcs9B8xtOZfbSz3X1VIrSfFPOEh7omQmKm97PLME9ehqXzjjRrkHRljE238PUyNt0o
7p9i28KfGLXWu9WypC2rHs+cT4uLJ6oWm74j7trWIcuhg6rS5uP8FIrc9XCXihhMtN+dUfgMZ9Qd
wcGMHHRpSZui2PfYMrPwTvjQW2NYYXgke+UBDPEUZ2cr1PlwUiKyiJaTmVXRLk+THNlsFrxEuD+i
FaDa9tscS9ixizHEZzmk7QHMSw2/QUzf865P14tVLc/WYHEYCBLVQI+IyS9XdfuCBUyeFwrOMwcC
AB2Zayastzp6dNxePOFeltDjkgqWXk3/Cz5J9FrVVQufx53uo7aEB8PGVB94ok/vqJ+yZyuymfP1
2L1pQlm4B6RN0Dur8gTE8qHrAXtAsUdU2b2Ztas7v7M7itR8mwH/FQfclE38SliSBlp1pdvzJEpN
XD5LGeEbKXCObXuBHXO2hglCmTktP71ucLdBOjPma2K24Ih50gA5BWVZGM39fjTz53GaCOBJRxJM
sCoc+SmzDTqx7MGq5o5mMqKf0Kg2NdzN/+Iwf+dX/sUUSfIEp67891OkS1l078UvJfLf/+bvJTLy
47/BMXAZEynTJFqHMvSfaAQXagIEBIugPZLCJXPBfwyR/gSOYFMm2w6yLIlD+Mpa+I/KZCZVf5zL
agilK5j9Ui170qMi/7VMrpYylXD8oztVVb6Azaot2aN2Zzu1m84HVUJG2PVpGBEBE1vVJbz6wWmS
/WyvJnEV5hL0s0knEJNGjSse8Zb7Y2kkjDfAa0RDaVN6WbO9v8bayV62i/kzoRj0V6JPYQCZjlDz
Jr964WHsly+qY6ZypFAYhtNkxc0IuxEYTNSxH6KQymbqdTe9ULzYdAIDvGOzcTb7ucLkqy39IikW
UFpz823osf1LGWVHe6C7vp41GsB1zN6hN4HVDrpIJLfol51obWvYACOw8YhUShEl0euBTZ5UK4SG
08NQG3ue1piUgBiMmmYQGRmxnXlY6k81L8nr5LTV2tI8BIyF58in6XagHm4EqGEwFER6lFmCVJAp
GD1iwYGZajRrWqQPAWhFnjM2V5lOhLhnO3QYKyztfVth8LsZhXJ+cEXmm7T1k6B5pgpdjl0DUMy+
UU04pdukEavKHt2p2jceGKOtJGP6UiZ2FtvZQSHaIuBn56JWHATmQIJpeOSjkyvrCfpeRajNDRLm
Ais/XQoQ2Ox+Udon0cADuJlwRYo8Ff6AcsxPYrdbTQLkBl0Gz6BFuKkk2hA2aPHYtnCms9o3pp9+
oarkwycUDUSqiW7uVhatk4snKkGxc7tYARMnmVG90UHWbrvcH84UsenJvVryFBkV0XrO+uQY235h
bXEuPQhRMurRJj8YwOMdcVsoJOM4AVMwpeUGWB4hG6iXT14C6TUMTYJG4jjdp6QjiLiaHjsKccj/
cDogaqIq4zTQ0c/wOmWvbYurvZaJx0OuMIcOfOnsHHPMmDuEWu17Kavsh+xqYSET0WbJRvsmu6uF
MuySBiJS60Mpg4AJwjzMUMWQCXewi/4bFk446EtpO/fUJijOSyKnvoWNbd7Qm4GBOuHzHLTjU/F2
FwTi1V7wBHwotDs0uhpFbe0Zza/20VSa6Q0qpxoTNpPYjUcldMTn5NzG2AJBH3SZfXa1PbVAqAVX
x0S6x7GMzwhmUFta+4yckahFutXb7tlUqn2LtC020gZZStRhX2nTLFHuxakXqnoBC3jLc8Z50Cv7
Dqk8zW3GtFu3FhfcVTT54woQglU5iDIrSRFuVeYHsWPmXaktviFRRDdNbY/nckgxAOspMuPPcJ8k
Q7oPYuyDAY/mn3Ik0bDCX/MU2uAXXMuTZy9VXxacx4W2ICsjcM+ptiZXcW0cSCAYX526pJhI0omy
Jrbk15z0MDLL5qVE4ZGZ1qMr7R6JcWt9GMqLOGtzNXapdk33XfaDeEN/3cSIwzdGP9c+BYxrP1UW
h6+1VEP5w/bm8NlJ7NDEgtEwiNDW7gKGBq9RGUeU3XLNmdpY1T1pJaPpluRccdr2koSO5JBMNCCx
kE+OGzCrLwaPCmNKdp0TCnaEvmPc7Ef9M0pFjcIa0meyB+BCJOWjJ+ezrw3tjra2G0q73D36YSeP
nDJ/5duZ93PSrng/8+IDM57ip4pNf5NdffRVDopkO5e2zo0Qx8BNHjsGW0ddfZBTOztPwig51wht
0fe1WR8i1gs+PcHE1AmJh9DGflqU7Oy9aX0rte0f07mxmUZhJwwtXecrRmJ/Y2lwQHlFCKhmfE0j
MnIdKykvMqtoRA7wBxjCD8xZrO6Dg5qB/Kwm2i5jVjXZ0nqDVJbfLRpqMGi8waxBB0IjD6SGHzCs
MZ/oLi7pGiFiWu/Ksg3xkkFS8CpMzzYoP1r1xFqtZ81eiJLeWNnI6j5ozZiHgnbQV4tYLGOzsLS2
C1vOOurw3HJah+5QaM6DB+8DT/fgXmS9hGvuSLjFoT6d1ujSvdGJTqXfVPc4+oZNV5tUbbMGThDS
1z05Q1gT46KhFPiNGVJGAlxFMNXuijOsPHIMnvu1LWvmN+AuEF35EOdleZk0EQNWXnNeNCUjw2WI
/Ni/1INkwqOuWA3O8ekl0sANIIEJSQdAOBKN41AazGGOmtFhuJH/aPtTdxg8NN/lFMRoegnvWg+g
Bu6aoUpfc9S/r0wNm/sCRN+XClP9TT9hu400Q0TQ79lGZsl0ooEwEsxdzQGyaKMNUxuM7BPHl+5I
nMRAPITqX2zbpLERk4a8MZAWr13NOyF1x7yv8dFYW0gp5am48lFyjUpBn5KnsG8Jg/KwcnMdu/HN
njAiO5q2Mk8avJJoBosmqf6QvD4tFg1rCbtoZPRh+q/z4rQH01540Huwu7Guh228Qx7vnhV+sWdS
/xriyZzGTVdhwBRng8v93GuqDCYUiCP/bR7/v5rHvvSoZv99cXwue4DPn8pj8ftf/UNj5f2NlqX0
CRT7vedLDfyPLjKFs63wmSoSbgn11UK/f/j0LGpqT0Lj8ugx+8h7/9lFlrygj+yKvjPzQJPk9v+k
i2x9Ui0KIRjWctRylAMkjZbjr9Uxd/WIW0Q0R6cIgLsniSEeqXTRFw9xtSvrxKP2xIr1vTVU8KwI
SwLnWgQngwfJqW3A56pMiXPJLbSHojmsJVnA+crzUuPZq/J2w16OhgQtt78WUQIDuDD635JGijNB
G9kX9opui+sgRi+dB/SpbHzv8IkHsNp0vERoNvhtcmM5lDU90r7op7/wuWpd5h90m1wB2+bB6HAZ
tBjus24zoZs6lENVHadGTPc0c/19OPf+Wnad/l587j8skb+WpF7fzyfclBvbZVT0ORNcGvRwqf+q
42hQS01h9l23p9Yx9/FfvJOWx336ZhyiOOGBUfNxiH5SpC6c75eWzBXmAHW7kcjFVv5MBQaBLH6C
42Dv5ygJHv/jr4c2VZmCXG6WqakVuX+YSiSmbMe8aLNj72qjnqFVUi3zC4dkFQeU13/+bg5CRMSI
HmZorWD847uFvjfGRZ4A7TFHB5l0Q+YetmVaun3mP//5e4lPckT9y4GX4E2UhSKRodCvbzbBP4lg
zcXHOpoyeqERWUqbus7LjdcI+vSA5u76phfnsU2HA1JAsv0Arv+VoFpfwV9/VhSRqGxR/2kEmvr0
syKIVDMhIcmx7gnI2Ux4lUCHB8Gz76J1+YsL/K9ryDGFcKT0CBQgX0Jfkz/8nE1NUlHXuAnqgWV5
KL2m3XQGdzAz8DQCiBLT11QFvOW/eN//60sqVxCa6Lq+cs1P+1IaJlg+XEJW8GPyJB74NUerH4k6
izGF/fkP++m9bATVtCl8gc6UXdD8nP1sx8YohshHNC/qcAN3VwGPMJv5JoTq/PLn7/Vpv72+lwOY
z7bhCtjO56DuJO9cozFYQ8u8jGJTBio/ZbE1iM2fv8+n4eDv76O7MujD9XKVv/5uvZu1jVtOMcwm
Z6CEHRO+FEYW2pSD5TxFcZxzviW3B7YGwA8A4HkYXf78M3xaO/ozMFxho0MoLFHhf1o7wyxSTOEd
n2Foww1WzlquwsUIL4E156cy9MhDcq35L/bz6yX8w/2h31ayBYGdQL6MEurT0hlCF7VZoCBqoKh7
bUCznBDUz7dVUkT7xqqgo3eG7miM84ThNxiJSz6OmL1/Mnusmx8VY8ITrP7gEJoG9Cy0OadgSYyH
P786/9fnxDJKaaCoDhBLf7o8qWMF46IM42Bayv1O4Ww366HOMA0hPh7dA7KfiklgQvOBJNsxvcDe
wVJgASQ+9mlp3yAVCY5T7Fm32n6kduD8ygRlh6+G/Z9/1n9dtR4OCgu7AZpwYuY/fVQTx3SJlAk0
iW/iGkwRtKQw19tu++fv8693omeyx2gLAep29fnZGBs4SQKjjY/lWC4PfrzgISjS0rnJWtt5+vP3
+ryds048Tvye5OnooHL3Pn2pGb9qiw+L7Rw4OKbRYNjQvSdhi1uFYQp262qioBf9pL4aeRHuMVt1
f3Fhxe9ghF+XK2YhU5l0TvmhaVH+eqdmTWVI7gxCmfuxmY8qk2ymnT/h7gv7ankw6K5+dyLiHGPw
SjrXKiJjlXZPg7Y7N50bONvBye/7+Z4ZhuwR0CYkaNZwTKHkpfly4fTJdB5EzeOSWcHHMPXZF8wp
y4XhPO4jvFquHrWkzPQ852ZoTDZcxiPy8WrQcaMKdIPwxDlC7ENKSRUb4AjH5WEOA6tf4cQf7nLU
oO9ZQPzJQmrZpTWqGU/WVAQfJPE51anIawZOBeP7w4KCst0likDVFYIyXSOUqApXRS3t9wgd34+i
z62XkU5DjeV40EmISDA/sqGzx00OYDICnZNEl9DizrYdthbRDPH3PmLz5rzsfIQlSkmAi5SNeBNN
TlFj7Ic9RkjX3o+2STEEmb396SkoPEVSq69ePTbeIzNB1ht3f0iKcenz9sht8ZfJlr0TAZb6ugDg
2WAGDi9K/23rlHyM2aGFVMdjy1w2zoxnv7TmC8+Z7Etdz+Pd9fIG7thtZRGZD5UF3wA2mcqiYyBC
F4svAtpLiuYK3t0SJdVWXXcrlLw3TbewQ3lEBn4rypQVWZqTMNdZJpZDH1dcuxm6VrtuTDN6BvNm
v/YAwA20aWZxryV3egjH62DxjC4I+0DP1yr+3pD4DdOiaeYQQo2fEeQNXeQpCS3rxSuGRq4MybXN
LRl/z+h+7wRD2ffEqaHmc9MQ4hcQB/rgjMbE/CclNcYc6ukunu0h2ihbxN8yt2NrgtiLettEBWzp
dZhrQ4TXM6RdzxHpjpjaMdZvRF4uO7j9rCWVg/EIR3JkocnG7bzq2mF5yB0D8roWyG76CDTCOuEL
tKs8GRcUlCywrdlG1XukOQAoblm9MNihhgRIUA491EuyhkvjGTMdF8wM7fkSGrj5cPlu/cXAwIgd
8w5zZr1DLyxwR4Bera+uOaNsHjiWx8R5YKwjMVynm2C2c7XtTljFcurBaxzQDgXPYae2pbbp1dqw
N2vrHsI0dZcvap9qW19NZAWyM6x+njb9Vbj/TG0DZJpobUxtDZTaJCi0XdDXxkG0jXgIuaryi4+v
MNYGw0RAttCWQ/QnJVBIbIiR0VdEJWJNBPSLY1vbFSGvZegrsTBKbWbs6FxjibAuYR7fNRg2yZgk
uGLQJkgeOMQg1PGLG2AQnbVVMsMzaZJ6uK60jTL1iZ+gea8lHaa78SvslrEfPbb4L5EIvlfakJmQ
qrKZXYb8ZCzKo2F6b7XbQmMfrCpbz5PHU62v5Lccp+eCIwlvTXwbaRMozLznYQhuykKFb12FZDCy
ZyyjWc4GbOsaKZfzrRtb1qVb2vpBxFl7MrTxdFlokap6xoxKIunVm8omglMVIUd1mEWJnJtwwAAt
vba1CkAzYhXADjj3TsYHKjMbC+wwy+XFWWxrN40ZBMlugNaLJKO+o1Cyo83osl+kED5eGmSfL732
2s5X223ZMopZQeSfL6laLC3KVDs7hVBNS7whL8FlYFT7OW9KFX1pQvPRc8bxUY3zvLWWvt/q5w/i
g6snOK7q/L7t1AIlGyv00Tbg9pB6j0C9wVMcph5kiLTAZ+xeLcd2MaI3CHgiqNBXhyrh6NOz/ja5
9iuDxrD3GMExMTeVzO9as/uisoXe2ggpyr7ansMMi8amu9qhCYdF9qA90oV2S5tIaHeu6sPXLgnH
GwtTdafd1Qk03Q54/uh/s5jzBCvnasUetCu7YNJwYuaOgl9q1/Yy5CzMhNqBI0JmPBBOqrb53MB2
Y/xv5mhjyGTyPjrwCkiHCgFzN3fU63Q1jJvaOw5dGQlR2VOPwTQ/VMsCVMGoXQw1+M6tsqzWhvai
c4L2D/4kMKhXom9+q+BLbJkqzae6sy5KO9r9q7nd9sWZ2WNBCYPzvVcZHvirHT6wAovDvzbJi6gR
zwbhD2vRZf6JH9V/mhzUZzyE0UBBtLZ/TFfffWfQNagLoqxK+G94Q7f0njHqz+Rw7kft3ncZeyOx
je2XdG5LWnyttWIwlByDBOc/VzDeWAhx6yEQ+0HzAQy/uLi0D9ZB7sv7sM6cg0N2wdnXZIGmAtce
OLUg33Ys95kGEGQLsJdei4bZaOr1cCUVeFdqQaoBBhGQDnyodE9XYRsg2DUn67bX0ANT4w9QGZbu
qrpSEeYrISFOhmyfpbSSyZaniaNRCmgnvBLKnp1hxIa10HEcP6Pk6x+IRgfFYF2xDEZa8Ewnl4tA
+nJwbjmx65wRvDrBIMpTphkP3dBVlzHJM+R4TnfntdN0sGpCuNcxhIhcoyJGDY0YND6CuV1wSfrC
29vhkH/XmRKwcyu/frVR9e1cjaHwr0SKSsMpMDXRSwIY/kW11becl942dWlna99ZoFa25A29m+BO
RjYBsBdhpQkYngCGUZPEs2EW2d+AXSW4pky2/OLxNs3lj9HwoSjjtUVJ51tET4XhfFGauaFEMUDS
ToyN5/MMJLho2c8a0GF7aXcvzKH9njQpe3ad8dRgE2jSkJhgG2yo89IR06TaH+hMGSAT7zpFH5Ex
1/CM2ow4V7srOCZ1xkftRsVlcip5G49O/4KbafhuN7H3Nex9tO8FrCN063CGHR576DBVTiJqXhwM
155PUiY4DXN3eJ07NC4m1ChkdEMG3KImsxQ0q1hTRYW3s5zVpstquhqyDpAqZpPFp+om5nqJebHH
OENMNvLMKOVMIkzW9yS8sTlF5LQlBBYKGCwn0eRVv+lsWUY8tqBDelYigaI7EvWjP/EYEXSHVmmQ
+TocbzGe48w3GTNCy6t4KOwts+pO1RL3PyrORpwwogyCfM5VaLz4WyD1UqajhOVdVRI6gGymg2ta
wZfZkda7ISvjQxJHcg6uk6xiSYg14GUne/JfCLwbVrJ3mm9BZceUk6a/rtv4hcIYCkjgmsit6kfX
IvpG6/oXtlfYSiyq/IvpFObKBJmshildEdJMpiT2enshErwp0NwgSMtXE8UJwQIk9oiC9rzHGRsp
DOFPJKh/TzPJGNbgnIybsWOG62oyqyF3vTv+hu3H33OWt9c1ooIdeWpqnebuSbY5wQyAGFa5o3Og
wLGjcTDI+mE5m8kk4AiRMb4IlKi8cFT23l7OdbrKCdrd2108PdUuNHAgTuGFaKQPoyLsvF6QMLjD
IE9AAsxtSzcL8NKcHXyT9oCcBlSZVdPviR83v6cdwjTO+Dx1KIROdk8QVOvH9S4fO3SP3ZScUzHt
U8jHK0IBpzWHanfTjdPdiCgET9TkHpwGIK6ZMw9s6wo0Jbk5klLwfmK8uuoyOCVe1xK7ZZTbyiiX
vXDjkhGw/62ZiQtv5sq96Sp6B8y4jsnY4tw13mPX3mFln6lT/Nsib4noqb+O+XLXp8EJSdJL1QQX
tlwaRgipbtxm+Ujq8As4vEdFpnFFNY2jktgFMx5x1NGkVB2ZGA7wsqUJ+41vCOel1FkLZim/T76g
sCJUbuNFkmSWpgNsZO6SvrqZIjWiqXN/5APYZ5nT1V4xU7O34dhDXbKWHxPIIBdZxa5WGQGosz+H
r2bVhiBEGw+4UINBeJ6ZMZWxxTh8O9Tx2zRM2Hi66OzUL6Y39M+1V/vbqI2flBVGB4U5ZQ25o38z
ZONtJ5ilh4EzzLnvG1wNsOm5zWfz5FixenNbu9jHeU2+dBuNzTGuXdqjY6KPE8TNTPsSESFyAxKy
kKMR8YQpzWh2UT49OtL1f6JqxXNkVBkNHRKhWs/cS00Iuukg97RYfSKyLTPZ6NeTdUoeHU3nkcYF
epBjiBzQ36kxrZoVXU07AYGKp3sHmRjJb0o9RJJOr8gdQxIZb1poSJjzfJqmbjty5CRRZN0Qq/rV
C9Pgow1cbkDelRGDg+S3oRThILWRXsmxKGTZ9xsiIHGyhnqmgTg5+EqgkLENoMTs8OI4NxA2JmLt
iSX16mC+GFDr1xKMyLYjBta8TQwyPbedP3Ps6BXb0tgm1prgDU4nIp6G35JFjneJO2PxEDADRdik
J0QawdcwN2hyh+TKPIrW6bYuVhlGiMtgfmfu6jqAxwZ95PU7Iqsip2oxnA+UDpnhmvtKWM2R2p6X
hqFtbKOSA/rGISJqd6XMmKPbfXOzHD1HQ/lH9HV17zTLOkU5fMR2l6wXHvlHiXRmHbdWcLIih6ZA
yyHfA+p8c53UXN9vqGyDWTlUmcC1mNlAtt+j3crfrv8LcQzy0XThcpQq8ffKcZYDHpvqvc0xza+n
RtIl8KzxbiRUcWNw2GTWsxTuk59yMTHvOISJdAyudaOYvA/GKFPpbfqUf83AuUESjcmBNXw+Yo7g
4+SShrt3c6d9LeOOL0DWeI7qZVoeWhov9w7Ulre8N/nVi9TkM8PpOjZOMd2nE/XuYoCVXNKeWLdq
njviN/heBH4Hz5XDsa8eoorsvTmp95RqnO37PlPNZkgDAmvjha4IzUs2A7i/RJrgMi7twSHAMSAd
nfVvLsbZL8PqneZfTCx4QkfRW278pmnRdmd+R0umRvVJTuBS7josnfYZoY1564jRuSmThQnZ4tC8
Cpb0dF13RgxBcmCCT/mPsxn/+/IQAXPhmAQRm88X4W8wCrprSO3t5SHr9TXJeqZsgn/lt5puSzVw
2WhSrnWMwUUWotiXuhXX9sA3FN7eO8Tx5DQDgdu5NiugY8QMY3LQL5gl7hM4IQMD/0DoblbSz2e+
vpkKZb7lJn+SFnZzVKg3tE+RqyVIy8XVZan5MvBC23lpfAd2uGG+RQRCwLeF2LaPW9Z9ZFBeC/Dt
3JH6wA+dOvhYhE1TKWE1WQsviiG8fKeVWGCAKuTw0uHMPftiDE5DFJTvAbA7/MkRt44RcQvbFho1
h8TGU1CJ8j1VLRTCejKs1dwOmYmCNAvEI4cDvmEhXdpfQRim1tpD8bb3i1ieObc0rx2pdqQuws08
9SWXaWhLSfZhl1Bp8cFlm0Y/c0il73gieeupb4dT1s3BsaPlimPdM9p3uJh4w+jIdTV/5zdQzdl8
v/dOO6wjyFKrqqt+FOTAYaMIsIAMsE7Mjl+n6wJudvRlhDSDTmwByu+7BuVVSPrcxaIFfqlyUj+b
0ZnJTHMXcZOFUiAEcgPASjqvvuPk42wKtkOoRg7ND8aiUFX1KhgrWnNO5dBScHCLrlMP8ctqBLZ2
ctVifgf0VKH89gxs11HFPV02DqmWnE7x4bE/+jZXKsRO+Kx5aB+KRDvstJ1eg40JEh9CenCKIUwE
1AHzgjqHJGHlKQhcZLgOv3ku52SwmWJ6a8Gnf5sGjylUS0He0EqtQsQWheTJiAfzLNqhuI3Grn+O
zdH7WcFa/YjR05wGB2s1QT08mewY9ODsKADqPjaH4+DXwdfEdQAGtQ3+g40qaXBvsiomPvjaEv4v
S+YvVMA6NYzu978XOjyV1Br/s35vqHh+FQP//U//rnZQ3t+YxkKKZUSgYcT09/8udvAsQu+RnTJp
0c43/V/+oXVw/obQV1C4Wqg/NWvmn1oHS6KQ0AIJdMDMINmM/xOtg3Mdev3SaldAbdBc8JpwmohM
+7XVDsAuLZokLg/ToMTIFogvdF0Q/bePyMHagZWze7ARicfogc2KGDDADchNy82QsfUDy+/FcxLE
1isgkfm+dGXxNLQu8dA20oEKdFtFabY4h6qxuF18rtFNbJD3AV+wpDTW3hLGp1PSIn8njvbMwz+6
TUVpYGagBXvqCbaut7Uf6+JwnkexThmjQ/8ckuKjzWn5rpQ/27vUaO27CMrMPYZyG5bjNFDB1YZ1
akjHxSHtOgUEPSuS0ZFKkvkpDp6LNJqAbGUZWEc67NZpxHhz5HBiFluiW4avZs6H2tR50P3Gu2h1
vk1iDJsWikLSkWoyvpSbzbDgHes4BYULntntynTLANU5xOx8iueamX9AC6dtETjIKUBaklexxMHP
xdVGvFSM7WtFcBGvyyd7tbFGvBajmZJSys5PQnl0B32geK5aWhRdi0brBu1WyPGczhv5HZEi9TLL
M5AuSMXYaRbEgg8TQP9t7VZcSMpOPFSmRfDRyk4mBYJ4qb6JEAdKkDFXIjGrMcUm8KG3gRUZy52i
jiXtWR0xP1V3qaj9eweGWnROmCEdWq4f9uMa97kb13vSIMZz1PtyN0Vkeq3RhBErL2rvwbBZLUmK
7hKqr3PIBcFc4ELEc8B84xgT0nwCM2cfp16VACLqwXha7HzeuioRJ7sdR2Y2aW9vYkci/2KO0vGd
UeFaRVx/H5e8/tr0pXytSMuxYDrUoHqc0Gl/CiP3tk2HrX7ljbP/MFWcxWCE+U+yicMHQC44zfyp
Mfy1M1jfZDC17YqV58hNFxnju7ekBApjQDpXlUW4Tj8TEUBjsogPgQJfcmS0JOd9HPTGWQbGMK5H
qfKtZU5eAW4PnCOpPE7q0I4cq/4Ry6yTEuY2+fcQJIS1Eo3rvhRiti9Ra5g0/3FEGRgIE0DhztpF
7mjBSZ7x3qwMsjkrXGxciOYwkyflfa0R55AR4I/1OqpIkeX3MXBz2eR71ePWQ62xC1FfyP4QlI2B
gRB3lnnMGL3Er7JqfSwt/NOsCpbPmwpC42ke0aPLNKAvmA838dC1r1Gd30LjDc9Zn8f+j4TsBXws
0spL2zgB2WaOomRmvjDCi3cxiYJI2LtlGzC92plgtVedZWZH9JTjl7iTWBUJj7u0SVRv2wq4Qi+i
TZzpI7pKGEeC/o6ITXVJ0jhwexvPRWgF+7JplmYFFzOv1gxi6Tklst646QRip5NtCA2Dz3CYzRhD
Aar/fjN303RjoGM9Ilt1NrNfPJYLfTmdDZzolGDfK6fTqJOD1RRnWxs4AVieaY9a0fjpLOw0WcCk
MFj2kycQRMYSankFzRZ9+xPN9nCjwnHvdYnzRTAsWiV9368wZJZ3o2c+4rgg61inHhutH3HygWs7
6ExkT6cjBwWc1sQpCDYhOhmf4K2JufgrstbxQEBz9oQ507tLiIxYg1hnAqWDmLE6WDvNyVyNcTTv
SZC4jWtv3mc6wjnCDrRDUyBWlJAtwA66d/E19Tkl/xklBZjDTN0tVXPpdEx0pQOjU0tHR+sQ6eQa
J62DpUGDeKu4Lb/7OnS60PHT8TWIuiGSutDh1Bhv6wPp2vE609HVtPNptWQzGTwq/FbGst2EgijZ
VBF6LWkFrjJOX69jUo8HdBTdC7a5joUxkk9NaHbfuJmWWs3brhnF8yBk8M1KHfhOUxAB70uYXqwY
WZpoppjzH6ycirmo0d/5PvpnCE7osKueLB0PSf+ak4J66CuOURxlyw1YxXjPgCdnVbiLuoVcDMt8
uOZ6ezri2/897NvhltUB4LjVI4jyXv2dkSJpvMsUp2/k++Q70QM6D2Lp7fK2I+MeCezXagzMV19H
jHeDjrIbi+W28GR5M9NuOORW7j1Y/IdLq6PJWzLKFf5r+nw+Fjs6fO4tCXakmQOOJ9nc0SHnfqrz
zqHl1uvsmoKeSp2IDl5iwQhMTLqjA9MHHZ1uBYBqlzwCLoPzGCNjSV2tKpUiPwyzDR2HHsx6b3zp
KrN9ZcUVNZ3asboxreaRZn75MOmkditJi43XaUxixjIgyd2cZLueRGQfpIQhO7TEpjYB2e9WSwo8
U/Z840ZWvqyHa1R8Y5MaXygdIJ/oLHlXp8rT+hweI500TyBVuKUr7Z3rQH4z/P6DsMPwzZUugmUC
UNaIF14KHV/PPZWSXEek/SDY55aZmPuwsfeTlXwL3P6HJ2uHlHL8qwvN6rUVz28zBlQ6s0QHKdW8
M+Ej3tEyjyk+hi0i4+q3EDXwKk2Mki6IlRwG2RflWi6zvV3cQNxnrdts03ZMHwrh3hZhV5zzpem3
2qYJeSYc4m49Rs1YbVuRL7BBNNAib39ii3mG300pRX0RL5ZYjdaAyUYkDEJwutR4b9lc0bfrYqYm
0MpuQITzlNtGRRC/yzR9ZopcbqyxNr9FUsWHMvbUb41oHvtBfATQpMBt1yCo1dciE+ZGS4X2U2qq
kz8Hy7kyscsoq/5ahow5Fr8/jQU5jCR1VRhNa7LdwgF7zzTnR4sAKGcmBSdxxUs8zuk5Y80jFXNp
NDUIOmXSRevKTPbNkFWnspue7CVqNeYJItXgEFmTLD876k/wBH35FMBroY2ycK2D3Jo3mQ4XdNyy
AzbQ5jtU+PmqMbwfQSjfkIwFX83ase6Ql2ZrFBQPSL5ZV86PXObiGC99S35bXN3giChv+lr+pvIR
3L342XppHcE0yKo1pg0CKXF+rlpYW9u4jshg4nhFiOqoHoUxh5CSxv9l70x660baLP1XCrVufuAY
QTZQmztSV7M12d4Qsi1znoPjr++HysyCfXVban+9LSBzkQlbIU4xvO85z0l2IMvHa7OQAd3t8kDF
dIO7ak8q7VU0teB+ZcUrargh6VmjuYETZFxZhByNaSU+BQCX9oQpOfTZTSJs6YyX66TFDYDG3xGk
/9gs6Rda3WL2FvOjSuL9stmsjeK6lIqAwME7N6vypxOHfm3S0Yg0nfzWlnpDvMqoY6ybFm99lX9t
Mti9czveD213UxnqWmnFJbu1eM0Pnvjug3GN4IkOed8hBkj4zElexHBAwdKBvStt56JIXPdC5HWx
jgR1vkkSqaRRVcAqASLwfw5+/28Kd9d+9+B3+RwXL78RRL3Xv/H3eU8A/LRwPAjLXGChjodw7O8D
nzT+RYQQOjzHMMDCLvSUf7yfYEcdF4WXhFvi4vJEY/8PIgXdO7wVmNk4SVGCoXv/A+8nQ/wqlEVh
yYys83MQIXrQWo6EgBPIWktNi3Q8wMOydaZLLMq/HIM/FnMzBOp+B2QcKj5Oc8bREGgHl66AN+NJ
sgA8uct8v3IFt/S/D9v/xijLhX5//sQi0v7Xfxr/C+bCODoRo8jia6t9LccX5XygFX97r36/kCNR
sYxLm54tQ3TzrdRvp3hTz9/evwoD3+/xE3FJCLJR95m8GYZx7DZoM61Kwr5ufEcrmu8lut9hSyXI
3NLQmDkxptknS88pm2UdtdlW73Zja41b+A7GnjiIYQ/ovXk0I5YjqGpA4hslb+EN9s6GJsRw4TUi
pi3U6BtLjT0kyyC4i+FccnDNu+QeJPzIFlwm563o0VWVdIndCga2226z0uj9Dl4nVATSOqhkik2K
E+0yq1ip05pNnoibkk4SVs1Iz+S57s4CYSAsjlXkTNEl529B4S6b1rOOIoZ4n/5chaAFVylOxQ30
r+6igxH3AAsq20RVRASfrL8LM5eITHPY/lrdb1o553vbbC8gvauHsZjs2yHojL2GWGFbkm5OfRtg
Q9YZ9q5N3ZpEssq4dGntbrEyjquRBt4nS0L0tqkEXsiZbSenApMYGNiFl0Fg8T3QFV6H7ANvg6Qf
vnsqn2772SIXUgSQNmSfMF48vwyFCD5HFRL+DSG28wOqVMfaDLPx0jQjO1H0k+qnVtsYCMckU4/E
kJM3PQpl3/a9zg9abjAFo8uS/qxaIcirwBM4YpNXgeI4TYMbZxWJowFnG7g2RBvSq1dy3WWJdpWE
9ovC/ItOV3U/knl8sGfzxYMVRCwNgAu70+LPGKYJu5xQ/JCeUBv7YrBfllaIh9urnv2k1kcinyse
ghNAHO10fl4+8ntQGUgPuee0j/ESBUUKojzP3S6iFDsE7JQbY9+1wwLFIE0zLKx+gyuu2Q0IV/el
ac6oAcjkWXscHLYup1c6MJkbHhzUWj5dNAYwZ7Gu60TtAQinfuIk/V1azt2dYpmnyehhZ0vd2CGE
YQJ+kwXpAT0zZnKSObY9kuFr1+N2rmqiYDc5Ip4NVRV5pfAmJ2cJ+rxdlZE7CBEwphbSNZTB7S4I
UWXG+l1S4DtfLYv9tZlxtIswCe8Nuwm+cUyywBeZWnBlDh7iIuKMZIeLsIBXicLjmpAoczOFpLpg
KrQPkATri5p6zSe2h/2Z8CpxE2iWtm+ryLqRRh5eDLZDVmNNYVxGLZxUp9eR3dF5Pqsb8ki6boTQ
kZKc/U0hPV151cBOymLfvi/RAf60k9T9ia5BrVutHc4bCgjfImpnWwIZbGPlQarcahxIEAJ5y/0I
IKJsjHn8kSHSS9ZtP2bbKESkiqd78jlcmBfQ5+x7mkYc0SeXQpYF+2PvkuS0dwZ7+OyaQf+Vg150
q+e17vcxbBdqLSP9HOKYUeggb/lupOCIaiJgrwBaDs+NRZ5M0YXe9Uj06D3dH8SEbUtvETi1cz6Y
4XRjcerahVXj3sCxK56nyBluKeONN2MSqauRqJkLY6SPgsvdOU8r2m9G7fRr4BbiroK2ulG4Anxa
K26/dnSTAWpjmbwyEzJgM1OGWM16kMoVeSvOBuF3ueuDQf9pY1bPV1FWRndABxOO9qL1jZ5JiAD6
ds+rgWpVeM6umqp2r8ohzDdtRYYIq4q97XS7xvIu5gQFQR3dz5T6wxVZx/xMJ4gIYvEk+daoHg78
tuG9aZTzYUqn+hzRGJs5J2AXn4iC3EsnT7wzIgDIUU4SgRQ09M6c1qM5RhEVDkio7ZsojUEcCXJH
15xX6G96utrqU9Oc/dVOjDjw7wLwMlsZdAFsAxJM1xA2uQ9jOROeSnvspsgaamK1UkxjfXqbAWkh
QBj8gWIW+Aq/E9NtL6UPgZkEOJ2um4nd4Py1WTaUMed/KKl0NdPS+KZkgdI0o2nzkzyI7HFqoSrj
FqHTufTWzEI4sLloimEXyFEhOHJpf2JlA92ptr0LkH/LO0x+3KQI5aLshyRvGZK6Iy112u/9mgoa
TRsrWxQVKQUnOap2Q9ODP2o3lraNIWldvvZxqfSYn5AD0fOwo/Kxj/N8r7yu2NOKDYhqMPRVoi2M
nxr9ij4uXZ6yeybmTJ255C9gCO2I0HWDVPeTISXJaWr6Kw+1EW3KCEZPY3jxJVWlnu4cwasrZJKj
XyLqMqnbGNZZY1owZtAc5AdoYjSBJJHD3SKOmn1VVPzC+ihm38OMemeMrf75VaKLP5au0auPz6nc
Yi8HQeFirjqGBegSHMaZsq3R0MksZa3dQ9nFy6ONPHrXmvHZSfrfXWZFP15bgenSpswb4ZwHULro
TpFUa9YhxMU60Nw9u9HmDCN6+jh4FO+LoqYBXQtt69iNt3YVLeXwVTiwLHbACjg4JES1DII2v2XQ
Mys9KtoRYoIbC37ys5HXgKUrXnAR2Olh5o1e494BjkQ6xUvCGn6G4Le9b1OORbxI4Q1Vu/BaJZ0H
WBn9nrA5ZMYNcXtuY4nPig2pWtFuCKDHF+H0V8uP2ul4o1Q6386a3r/0RaA95At6dlYEwG1cTfz9
nFI1Bj8nnV92tC2KFXZlXNEI1+5D+Dk3FjnGhyQzu63mjPGXomtpV5Q9zGqYH09WN9lPfaPZT4lT
TVesVGIX1ZG2mcg639BURjwCE/1yDrXmExDQYstxKt9CyByvXu+6cpBkl63rXpupvtOLggwv4njO
iXQ3KB4SflR087AueRF3o1Pq5xLx3LZYisD5pKxtVedk2zU6KPaALsKho4F6HUAQBa6BIXD9+i7P
roG9Q7OJeOO8cT678Xgl2yLYol8DbmKrvl7R8Euv9TrJz6ALi88eGYJ7FeCpWi3khQ0gfh7/jFM1
bQmcNGqUD+HgWeStTDRzndlY+tFo3VNC6ZgUpjOzCopr2cwz+cNOF9JArqZHaOgOpPwZNN0M9gi1
BfEZpFYkqy6VybVFSuOus1A92F2OeGSYxxtDDghKmmq8rmXL0g1EFk4cVUvcnHMu041JygUQWEIY
t6xN/RnlM0IHArtF+ajIzF4XsijvOyxIu44Jhz0QSsBzwzbVdY1eBL2L6LHD0rmnA1QdSMIZdvg8
ScyGU6Hdt7pOaxXGCTtm26IZ0iP/0MOWT1M5ZDfP7WLKc/saqVfV0342iuxRR2OzzSskCZYXG99e
VfB2jrLZHgb92+S5dM7HuLRWmr2YRZALb2NacsgbMXqQNiIPYsA476qpAWZn0iO3ph6HRO6Jflyp
nhYHXBBrvtUFOjgI6RmigYD/uLe1OiSFjZb+Rac0qGv80ZvEMqCMl3Md+K2R2PtYt+YzkCSC2MN4
v1zRtaSCsabrHV3RPqJc18X5HczXZotouYBtEGlUPUsFAtmZzK9TMbkJa0N9B0MLl1Qaa+dIJW+6
apJgSBCgDYn24tZK7gy7+ExWGKlDIJwvuAyCnfSSmdMJ22bnus0AsCE090GAYBCmsjrH9dHgC6p1
uWWHGKFQdIBr0AE0aULTOhH5d1lo3xF7XFNYtHbmOOTLvq0+cyPiC+Qc3w9lNK8bVwtJeav33Ih+
jRORrDoE3Agg3c9agd1ZJWiaKU3XAY7+BdppoTTTXYW42qEslMmK6y0qx2ZXZRK0DmUN5QuRw0UU
rtOeJEMRZxRTS2qye/Kko69h1zt+Ohp4PKaOKG6oE+VdhSF6XgFco3aXm9F5lIjqpiCz8LMWpsWK
VT3/goUHFWYvsQaBTBg3mVulZ10/zQcz9tK9nUWdr0VEkW+IZ7ZvbLeZb5JQNHcV4Lkt0m+J8HNc
CqmzENtRNkvEY0RBi0jkXV+nHMn1LD6EiTGhrFLEYzRzfk5StIWgJ3O8ZjOUIQ3VnduNaXreFt/Y
3hNIKQr30vA6pa8b0ylhFiXwLMyyG26CeSrP1ERdPNEo7ikXLbyZ56CBU/JTQ9R2PMXNGDjfbELt
FmLEPF3bhkpuC0eVuw4v/BfRsL9aURk2rybXU1/SLJIH0rmLp2CSekBAamc96ssKKYy8QuvkRv5Y
FN15BAeKIKZWPRXKcnwQc8Mhc8L+fNCm9LuylxJXZPBw6bQHN72s8h95C8WzF4b9jIquNPlEKnkw
UtO+oJkHEwajOCqXnpw9apGAXSZN2Q9WQesNYTcZjXHfR1elNr2kvXQ/m6Uk186bCb8Is3mHSydZ
J4QzrtjjzWjoIoAmq47AiI2YGmayJEt8AiEI4BCSfMmM1fYwcarAP2jNq8FwiVAhS66N83u6lp/H
Ak5GyCy/onDjbgoPwWJqVE+gdixYzQh6kAvLuts47Iz3pSfy+zLNyws1Z+ZZ0yDdZT+fI4y3EMtW
bkcqRDtouc9xSWgvk8qwCgzAFI1OuI9Kq5dkFNSsnGKGlanFwQMyGHXBopjdsFVMnkfDKh+SOq0/
Vx0RIvtKc1AnxkENBqkv6T2vUgDgHKZUcWtbxlCsX8UpaSNMujjNkBwolL+Eg4t4k/LOxUgA1bnF
zvZ7UemC/BeyHuCRXM1lnxHzYmnZXuE1WSMHLC/SnvQBfHOVurJNN7xK2AwRK5wl7dZ1nRqnB4Gm
bQMqku//B0jGaNWxpnm0j0xYi4GaD15JZTTVKTLYuMofx6a1WLikAb4nD27byiq/WVr11Yb78xU7
zN3cYeTZSQQ3Gw2tzT6pZ2b2SrNIWViY/54clg5Z3ZCtki1MFnDgIur03dz3ZB7wxvsaPJJ9FAlJ
3odAXUPIvTyLco+zaWKG39AegStnJlw5lhaiNh7lPUcd1hOsaV+DXOqbKvSe7NEezvXKMPf8FBBk
Y63u7Nj+ITO3ue5LNYEzCHqyWHA9cN+m5NIjf2BPlAh3DAzkvg6TpZ/jcVOsQD7JPrLv4x50SdLF
fLCNRwhewZ5qioh0ceDLK2QMN5xBHpmQ0+uxmsWhrhGIqkGJbZUVwXPppfM6QxFF8oWVXIkxQMHt
aJxizIbdLZmX9Trsh+JTQU+THa52m+e5OlPulN8G8NhuZE2gq0iEeQX1xvpphIBBS1rR26aLw0MA
r/a6cMboIqPNfWeTVlZQtZ5BEn9JCg1NAjCnnOl221eQ0WY16rdB0AlAq9hJS5WW+6m3sjvFjEsn
rKi2ntfr+ybr7sOO9ukodXGwwnLaq6H5GoEU85MwYsViI0h6gdTos0ENYysnD4ONWr8N65T9b1n8
7FTSx+QSVt8sXJ9fWleRP7AKsRh+K/Uk0c+Nqgug+gTJhmrJwMvWmvedqY3Tmkh7x7uKM8KD1mVR
w8exmhKuVV2MM0ezqEFXPTXZfZFTywc1hUgmXmzclLDu8b+9jCPuMn1mq9LUVnPQ5+G7dDg1OJmZ
r9lUcUiqkZLPhIue0VQ3Fjixr+FIOPD9O59J9nvMsVKs7QAqMrvCbEO543trxkh49Ql1R8L6Og2D
343iWXIEGYnRcBr9lj0UibOSMpHWucZ3Gw3HuV061lbUFoUUJD7XYWD4vacFPyNhOTeOrpm37ej9
rEdbeyTQsH0wTdlEGwe0EsLIZgw2rQsgVwPHtNe9sduacV1shArJRsSN+oFD/W0VFHKLdAQYF89w
zWOAgxjJdO3JmvUHm/pdr1GMi6uSd7Lecx7PP7AYv6nsustoHnInF+GVOKYbyNEZ2SdJ9BRliDoX
g+wqzuW4zcIq27xf4T01FJwR6bmO6QBUObIy662oKD8aXFjkhvdjYrNkIES41BWo5PeHOmYLuFyV
YcJrsSE3MOJRvdpIHfhTFkMVTdFdpJlKfdEkbDl5eVd1OOZ7UKnTnxbJGZS+M8IGwmYx7h8NSrqY
YWpl3PoTyUArExPSSjSU7DiT2h9c3zG/Ybk+PmhaGBJOjP0m5I/Jf64qjRb7FFkB8WNawuTmJmdA
8UbgsE19U0001glNiS67bBw/GH9pXPwqlXsd37Lo3wCrp0dz1NiYQruK9DRsfTfXKMAXXKCoh4f3
H+LyPhwPYpm8mAvQBC+++XtfYzRYLpRnNr4CN0jNIGIXEUoruMpMffbnCQB134E3LokZ2r0/9Kn3
h5gPx9Q9mjfG0gX7taXiOfZokB4BvXJIJ8xHDrDdZCkES01fMq5CdmBTRC/8/WFPffqWrbM358mS
IEDr69dhrdYTpYwZVtZJdjDy/gEk8+yHgrfWk7y/7w936oOEEEWPHu6pC2Tq9+HCptYNjCAM1yrn
vjbrPYf/kawKqX8wyxjLDXvzLD3HtDmBM9Ecayu9ef77WYq5G763r+/mFHQ/RkRKCIQyA6M8Rgfh
zvpzRFaGr1Ah/RsvreW5QgrbAj705qORlpoxgTcYskP71ulw51chU+yf31Qe4dK+Qkb6BqtkAyPo
7Jyp53UW6MlAWxMyM0J7JxD5/aFOfYU2ukniJ6jKQ6f5/fmBjiWOOkNoM6CY2mCa+irc8uv/3xhH
kxoJJqZgoW583LOXcAP3tpt/hDo59XLw/hk8HF4POMG/X4fnJWAHTdX4FXvXy7DTzYNZFjTK+iH+
HGnMMHhT9AU53W/IX9TPILd8NKO9/fQQ/Dq0UPj+PEoXRzOa7VT4xkqP0AMDDLsqlViDtK7JFEqw
fFResfnT+8p40JU99lFAuI6/vZpjlTtBe/DzYmSDIqZbGRnyg63E2w/cooeOeprS7hLkefSBe6Gh
5oZQPh9YeLduKxQWmMkvZEIv4/3LOTESF+E6pGobAC3k0WvitTG6x8ktfaY25GVae07Y033VJI/v
j3PiMRnSNgFGO8vuaEkX/XWGFFWeWl4jS3+OdWC4z5qbrdFvLU6bv5Jjv4//O3whJj0jWrf4D3Zn
NyWBbzTKzbdrrPXbUEfbFWpUYrHsw4joPQr3hU3I1yAVXCSvh8XRF/PDhK5uD6s6aDa1TXVfbzAj
IOxCDjeTUZXQ/d2bLWW0vLEogOc2Th/HTaqDskYcxkM0XwYZ50C7LixcgnSLOFeB3DVVog6yz8ar
oeyoYE8Am9aU2SBTo4P74ELtIwS2/bqC09fT+QAMoAVHnx9RBZrlFR33tI3Uk0dy3ZXRu58mIeLn
fO7AqmdInXDSfGmAnO0kMe70rMXZkhgeoylaG3WFbq17yAMORkoQGFXmhFK5l3NAYSkvU4SuuINX
dUzqSdAkCENDWPWrpifEQku0bj3ape3T2x42SgFnYZxkQwlPXqQ2WoYk9YI1sqpo44XDepbhuLFZ
fTzulqlxbpxb/ZsM8Kn88btmIs1HwcGaxZb/6F0L8r5m9zFxXxJCPHrDs8546qMfJg3u6DGwBv/9
Ad9ueNDEStt2QDeAbjze8GBG7/uhykvfW+SI1FvzbR026kJYldoHbqguELnq9za4mr8UTv/Xl/3E
58tuThcCfTGQoePPtyHzS4s6UYCNmabPPTT/rzX9nnsIZcnLH18kAg9mI2od/Hu8daQvynlz6go/
7xu6Ijj5G8q1RGZoSdGciTYloLWlwT4tVGfvz6cp9lWWoBfOyQCdye/Th0xDoHhlUfhtgGi2Hor7
cIF8ucnU/PE2wF4mKUOiMCLV6ZgbSQ2oDSEGZT6siadpKoaN6aLMbjLL+uPXlO0GgimEUZw+3oDC
qrYsu7DvMnQFHQG0gsKrlVwPgyN2FJ5+vP/03r4otm5xYSaeILrIx8tWiE69sLOay3Jyy9eqqSjp
IdLTabMla+39wd5O9gzG1oatgUND+3j5qtGGRKLLuTLNvo8s7QkuyY9ktO5xgn2wB1m+5d/3pwzF
sVRwaSwvztFKSapQPBUaQgx4NFuLWqlXOhnBg/28mheMQ2Z+tBs9PaLHVtRbBHDHbErNrqRbLiPW
Rn9Iveq5nIx7C6wzNk+BeLIzL96/m6ceHRtvYGLsOhjxaIl2wGyCXZKpr3XdAWa8b9spEU36B8O8
3ZQScK9zNLQWsiCA4t8/sd7VxzjmR/u9Zi4ksMI+q0ZWxPcv5u1UySiGzmYD4TuY/aMPGTTCSA6S
kfqNRUWLSg9mwu6nLMRtUisa6u68tqbyg1nSfLtSMioTB44zByTfMeiOVBys36Qw+J4DwGzIPMpw
RZXiL/bo0s8FTex28vCXa6VNwLOc8fwXrS73aqzDs4w+8o6wqPt5cupPODDBylUVm4NlW1Av7nNk
ceLBM6H7gYJxPvjtTz6YJXWOZiCwiOMHgyQhyuhsEFA50JJNJi85aCN1zvcfzMm3DF0lJSUiP95s
OXO7ZhkJy8wvlCRduOx9PTXuXak+2rWc+GAdT7C3ZR4SnGF/f80cmVlFVRdMRGNlIWQJorNR6OPu
/as5NQORx0gZzuVQzr37fRQyA8wx7LQU8RAog16yTEF+wUzdZt/6xP7zXTRnRmSiLBkLHPf4hAr0
TPQIrlLOjsGP5d41sbjNm+Dp/as69fG4fO0SSS4Hg+PXeGyJjJtLPp4sdtybdDJosQXOD5ot5a4J
Hff7kIFWpVrYfrBUnZrzEJLa7KuplL059FA61SPL7lM/DM1rVWhY58NdlTxWyXzHdP3BaKdeeI49
Ji87J8s3RTIoeEhIYVb5VVil+1w48nYwwfG8fzPfgDoB3+rcRGmyHFnInI/mVa8zx86h5O673aA/
IrYvd2TRoUdLcETQm5PDA5r7ct2Vqr+upyK9cjJJeIqLpnOGXkJjmXQmowYuhjEfPUbXJR+dbo2T
d15ywubLxGl7vPFpglZ3hjxntRlt2gSqfjaUV65RlbXk17pPZONVa0n42EVWWPFjOvTtWeCVXyMU
HbNYsDtDbp9RRfJWYtKqlRdxHe/fyBPfGj1ttqBSWkDljhfETPI7xCPbbUxEP6rZwCJFaHAZZOhX
puf3xzpxO5bIoWVfQaGWXffv37UJdhBrsWJrHxg/dAoOm9zRn9uJ9CrpFUt+llAf7DBOfHTkyxiC
HQ0r1pstdt9kpGCHJZeXOJ+jOATDiGqHPkYzryywPA91M9Qb1Bi9/+fXCpzaWypSbBCPZ0p7yVpp
3Lb0OatdAXdpqEpnt1TjifZMw0fMqOGf79sYcCkDmAan32MSNt8K9B+7Ln1ND+s1VmFUCYWlbgdo
d34uOEi/f4Un1hzGYw9lsbCxWTz6AnHR2lFccmvHPqRzYTfDRq/LemOhiP13hvLAnrmCDSOc5t9f
nErascqJhfcNryxunKzGiS2VOI87w/hg+jr1jlp8UIsPYan0H72jPZK4YqYy4OPsvgfn+OI49X3W
8vzisL51oZn98eGICQzThQmBmvbJ8QdojPTazHYu/Nmc0fjJ4VNDqkhFHeCDgU5MzJTUdQewLdsQ
01ue5y+GhWoG06LjG/ez0HkKx3HvzvX9B6+Exc842tD/NsbRO+FphLHahF34CPqNFUnL1QE2qfPJ
7IifCbKh5S7qMDGGpsLOlIQP5dBIxEL0ajuXBJrB6FBDFjGdXpuQOrKrDUh9YLBiSzUHAhajW5P0
dLKxQXMElV7s8xZxFqfbCR91GOB5dmlS6COUGmPB2OJxNT7NXo7YqjAAKZZ52+z1vg68V9L0dZLp
7A7LhQqWxs11NMpojzttOssgBV31VpRf9lrT+27q3cdl2q65w+kup1ZE3DRCQR9xYr4qh7naBl3k
IBZOiRmyrRi8bdLt3r+9p95NVnFp8J5YSzzF708Q5iVZgoJ3E5nwcz2qZzeqrm1L2+GJhqaEjf79
8U594ey52exRvqchdDSeE01FbYVT4as6WmpOV4OZng2q+GDz+rbkt0RdQJpgb0KZ7pUQ8cuLCWky
sprRI21VT2+rKm7QDLrf6/SBJvQlgpR155gEVhUfHJmOs5qpwL1GbEjBHeVwfbwh8yr4x9XgUBMp
p5kMKh2XUGNrtxhd9GyLZoYzTr24c1Xa15usQCQIzZCJvCaVzEHl7ySDdmbpnbYzlF2sA4ShvHDV
nn4nHWwv+eYYPQf1ESkgLNJw4ylDUHuRM07l4M5MAbi5swN/QSU2OeozXJaE3wdnafWC58O4Ibx5
3gO8rnc4uvj/Od78qFXJVgKte6wt56NHceqJQwMxiDehzGAZy6P65VHEeuvkRUrwLeToiXbkahr0
fWqo/oM369Rc9Ms4xxujvurJNIZ37LtOpq8L6g3rPIq277++p7Y2Akz7QinBGXTMnNdrfJE1vF6f
ppO7nhZWjW4+lSk2zqidPjCdnRyMeiVnFg932/EhQjRMRgWeVPR3IuckOu/BvO5QgKKlVvEHt+/U
RCAo+7NaYNl7s/nNpskSCSoqv0maW7OVYg0i8wnX6YuK0SxE4oM7aZx6L5aeNwdYJATyuE8zt1XG
/WWflowZGMnZJOZuboYzk1r8prS0yLerGtRX5VmfYj2I/CnE1IBFnpzX0E13XmlPDxJLEPaMIIQs
8P6TPvnrMSFSRqJ+6x1PjMMYtFoasc0Z6urF8sLHyOzvMgsdyb8xjiSSjR2lWCxzv38eba9NEcSI
3OckWlHNIaVz0oZN2TUfLKSntq0UpxBtQNz3+Of3gazBw8GB9tJXeEaiFonrUNw2pXMgSPI6K+v7
PPM+KFSceoF/GfJ4w5rMNiGUjp772jDuw658IeANcbs4NGX/wZnDOvX+LglM1KLJWaKW9PvlqcG1
q3mUOdOMOX1VUfUTGDzx2pnhgnmApL+A4dbEHxa4rhevgWYsyswG0Z/Xt08QZKKnoAZn3Jk4FnC1
4TOKVHNHhDu5L0WG5Tto3d0oB/fRdZg1IRmTCpdrLdiedCltluZPfTCxswDCGyv9a1J2V0hxqq1i
yxe7PVlzkxVvu3wy7ypE1yz2pvPB23TqLniLU5cSB+/tcQM2y6qW4PWKnR+ZmqBLjJXS7SeoYefU
TJ9UPA0fDHjqES/OLIQykmLr8W2vEiOcajZDfkxMJrq4rsHDv2DprBCq6qpdNOnvfzCv2omjDSGK
GZML5HPhmHn0pEMN+odws9wX+eyto6ETd3Zk9OuCBMDzqMyyR0DYAOhslJOvdgE3gsGXdzNUYiR9
e22Aqf7BbThx39lsLBZoUsE4Tiwf3y+LnCcmF9CClflkBtjbqIHCVERsG6ekbJ+IM519dJHfPrgR
J4qYqBKo+iyztnxz9g1HZ66Cni+6nQOkrEsKLIJUa9cGTbsnbMda8aagnHTg34cN6aP0ZHBe2B9l
0Fgn5srFF44cg7AkGm3m71evI40QuYpzfMsJ/MxXX0NswTxEW10459wZeUaiKLATgfY0zCgiAzOi
jwpIsr8ZrEHfTaSqfo5sNt6mmvXPbIuLfTTwSuGYSneI+pw9kvyXCTE2U3a/tUUSbdEK25tGK5Qf
iVpu4R5IaBHnZplad4T9jtd8tpjQJj6Ep8jtvEOmyy86NOgPDuanrp8OGB50uXTojwtHlNuSrFUW
15+l4x35FGhRxRg/xYYW7d5/6KeGQniN1gA3OsvGsgv65UWj6VTX+bIskT4RbaraXdx8Y5UevCgL
n94f6/W5HX9pS/XX4vTKMnh8/C80kXVDHnM46KGwrhQNY8xes23sg6rsCdfIjHOj1IMbNZrDlWlq
4a2pwE/ZVlbtqwKO5+sv9D/cvg+4fcjyXGac/0YJbJ7V83/8lft99Zy//Nd/Xj7DbX4ufvxKcPj7
L/1D7HOWEMKlMaxznKQ4wET+D8HB+xe7D3RHtOaWOj+v3D/IPu9fdHh5sz172br/SnCw5L/YS3C8
othqS1ZD608IDserCAGHgjI5aYc6Mpo32lWyL5Mmj1LAB6HhzERX2cUF/dzpITcgtISh8xEG4fiw
wICSEB5WLH7ztxVleP+R0mYx+ePIdlcnsHstxBDvf3kIN399Kb8qT45PoYyCIH/RrjpMjW8WR0Wn
rq+daPQJH433gznWt2nZgJyRdrXVtSFbGS0lLrtOtE/tIMeH94cn/I/Z4NcPeNlU8uEihXJNnvHx
MRigG5jTSSq/zEQ2EnwRzbtMRlihEUpcjGbUHEZU+u0eHwTxFRXpCEv6QMxOqaXLekeAgxGSu+ri
ZSZbBsyxgSXJnYd0N0FWw5NWTrDxrEyDojhWmINxErfATZHcTz+pLKSfrMQlwQM7kh/ZeKADKWqi
Fpz6M27iab/E/izgK2Oi4lEzt60ouM6+Xo/GPZq86qoBXX8P6gBHpQUrYhBt9ewSOgtsqeynn1HL
FfVF1j9mXTHt22QsLgIDZAHOPJds8NIsLqJAp/wdT9UXUib5i8MYexctnNYtO/Lgk9eTRrPp20ov
z7hVRb4OCXMEW8jka+0BJ3GZumxhV2BPA5U0QUUdCeAm8LegLOMhMsNFhr9Gxs1tmfUWdLTFpJEo
CQhdoAyarRHEnp4PGwIZm0PamfUtnOXggCRn3IvaACmHzGhrWKp/TACoP9bJLO54OuYWRQzZRSZB
LWQs19+nkgjJULLbiYdiekC4Wn7p9JknUzPf+mLBa8gBIK2lCu9CGFrs13U0/Rzwxz3oDX9l0pv2
SWDQuAjG0D7Ds2fcd4RLPCVqKC7GsvQu8pzNzMZLajtZ2TnunZXoyN1O2V3CuQuy9VD05pYojPRT
RU7vqiPeCAxC2Xy3A/4zTBEIrkO4CKFPaARmE7urv48tn7OrqWkv4i47K10e7iSrYTN2CWTv1kLg
vdVBtp1VmFKpXBD8Im1t3GtGkH4KkfARshHVV6QlOmTZhP1Lqk+kSWG0pXam60waRvk1Huv+kXbH
fOnVZFdXFnS5KmftMkau2Bu06ipIl49dq51rLdR7JJ1cC2n13kp5IB177ET5qo+K/oVUu2lh5dnX
oc2TCBCPreyimjY52PccMG3HfU3BRsvMc9Yj3gtCVkbQz1irguCT0IP6O83n+bIYounBZCHdk4iC
CbGp0x0ZGuqHngjjPgaEuyEiFca4xr1tQ55j0i23enlFswIW+dRw9TM+pxCoP0/CFnhIbIP3v0Ge
8iULZXDI2vTLoLUdAWBNfh26PwHm6/0q1nIBvDHIzbOodb4CG6g/m5hWHkOTdxPLVRrvTVyRG9vO
vtogxsj8kBUZeg4v5YIyHiMeFIZqtQtqu7quCPa59tTgXHdTYNwXcVt96UBm/R/2zmu5biRb068y
L4AOeHMLYFuSm0YUJfIGQRnCAwmbCTz9fGBNxVSJfUpz+tzORUdHOWHDZOZa//rNC6I1vlYPeTxO
cO2LhZLkqsCP4ZPyt+AercAv2W9k+5piKQzNz1o0FBlBGb/fnJ+xCIZ20B7UIpoxVnmx3oDSDl8E
bfjDQm48WUa0FGS1GKjMq6KOXKnnx7E1sRhV+IkeUEkT6le5Oq+pLidvC5/qvho5Ql8cAzx0I6bV
XUYXYbf5BfDVKN3nuW3k+D3vJ/s5R5FVpsfZWhsbmuWqNVhf6nK6wQEvcc4ytSb7AU026lxbLZ8N
TAGi1p1wFjMcBW2wW90936FD1AGgPBHjamRrmprL1JLvgzIwONtaeTfqg3bf6tWD5kwXuxb1Hu2Y
c79idh46HpktvZOS/ZJcCDogLgqM75iaa3aqzfLzwOByR9b1tJvs5VvukyRmz9OPMjPrk9ak34kW
zE7ZyjyoMSZx3daz3FXOrIhESccfBnrTXZoPV2rskj1sYwO1fhnExtLji+I5KSSGNL/YK8FZZKHM
S4Tn49kt/LNWCgz3qq5ZQxEk3QneDSxlTZFjoaONqPMSTLKuqrdUrGROgSGSuTPYSxTYzcPSePnO
rLXgqsC9AwPBQqJYY8Ei+Tau8gWe+hT4KUGZvEjTmPWTTvTOsfYQFovR8net1MyI2BCWZbNZnOgQ
FU2t1q+kkwfHKTU+YcIb7AFXhmujCaxqZ/Lsvw9CSpxTaUthLq68QxqPcT4i5SVB0ZAErSXkKAwk
bDSmPsHhDAxQ0oCobSdxu3hJhu9WK6dD6qSceRzg/h4l6RxmJsTOonG7B8azBpLWctjD2srIHS81
/MJ99eITxYmNXqmuGrVJi6qyfEal1HqRq9zlEOQz+RBMtP2Y7ELYJbNtUSFazIIMTBltvEG9Ezij
qccLmwhmCKUwh1Cwrm6wzxRX5KHhe2Hq5gnOxBBbWcaqGnYYondhA+ASkgLjnIXbq8+rtIqo37wL
GEIdZRVbs9YS4OKur6LSHdC2en0UhWiR4w/BUa1OcKqnZLnLS2uN52TqzmUt7Mg1K9ReLo6GlUzL
3WBb9r03ADG3ycY6SHuU0Lrw9502M2PZouakg6Me9q3FV89Nkcnri9zbyeatGczavsPFBKJsfV8Z
Gmc55lCnPLeUFcKcjFMtDZ5w2TEO+OgaO9dqs5M/q2QXyMS+aUH+8rCU2gMhgf7F6NblvIU7V6Tb
BficdG5f/7TT7oL8wLsOCHp3sbSTRLVU8MYg6WTljRhW4ySYtnRRju3cVbUm1vNUeAtWhI6EnmvK
arjKFtK48Nkr9J8CJWEV2/CSVKwX+nxauy6IRK31h8monGdZTTlBd2VeXNtjOnyvrcIlOm6wZyZw
RmOkzjNaQB3FVDkgoW0bWCiaasq9lznzt7Yw2mis5FYXiO4eyV0VQ9Zv2h3+HPmVpjbeLsrkwuPz
q7MT/Pn+OuiG1oZhC3AYytbJESj7yRDhe+3cLmaSH3E9FN9Mgad91JMhuL0bDNu3EqkoLM6hLV2w
cIbmOjATh81ZjD98wr8EsxJa6L1eDhw4sH+XN/poYgIWLXkQTB1YA8QmXnuJLpI4dTab+CyvCVcS
zu2K/cSD1grB7eZWtp/KvERizCQoqinysth2lfimxMR0K4Nsgeif0xladHf+o/jqchPvbWMZfggM
vPzYdLCDDY16Q5PUspg7ylD3kyo7yrKtYMTYYrbLuMjM6gRw31xXOD8cbX0gQ7KVbMZ9kRZhLYg7
ijNn4HAP6lZ7aNJgespNK71NayqNxnHFJV3ff0XQfbW0zdYk6bptUyaQ8G3EOyzMA4/yJOg6445t
sPlhCZcuWEuRRr5nc7opG1FY9/yczXPikBna9JTlhBGERqf5Ddk4/XJIa3e50mfyHzEWlXG66UFb
iq1neKZ1NCxb+Yt66NkbVYUdCbcAsAPxqlbLG0KD/KDWpCXOMg8IKpE42iybTWfYCqtCNBZ0v2E7
GP+uh9iCfemXmMt/4IH1JrFNaaqNx1Qzu3MChLuVw14TdUXX48izlff4gsYzL+ZlWHpE47LhYU+j
87uGxvgVw976me2XELRIEMUHNeDUWm1NvsB4tHMq/wgJknPruaO5S0e8ZxabgjALeLJjqqs7L4V2
XQwORgNj+5ImDR9mY3XnwcJrvJGi+zpNtn2LK5T6LKm4f4PUfMAptx+7abGY+cPO+qAiBL0pvVmz
hqOWb/GDA+kpi2Ch6UaR3WoTXx1HER+YMfPFYxaE6oBzakvAa18LQd3sYcbzm6jmdzz27x2hxVzU
Zr7DrMf+MFNKkQ2b2M4Px7q2SAGDs7BpYqfuepXafOj7KYvZmtfdAtCEC/tEBVXgCH/wsm2Zwvh6
KKTdnZFUYCGYOO0PkVfeve+miJ1HjNgSrW+7sBud37GzwFI/NLPwzPyN94rL0TY8/jv05UwalF5M
vY8K8Xe0eLkodl0dLPuW2EmeJczsALv9N9KT5yOmWfhpG+YrIo0vePNYDJsplzRs6uMJZv7N3Jv2
8yww1sD0trzSMcV/MeF6KqRkOLhe4WHhE51jlLFuk5aSEzxzqNlKjmmA2ZpuZIjGVU29WtXBNQUk
sUPKWq7gr8i47+Bvt9sOY2Je9zCnvftJI+mCkNxUR1Da2LYWWgN7LIpQ6l7ZVpivs4GRjELNTrNM
X5KW/EurvX0hPX5UaNy3Wl01a3ffwNtmT0FmH9v4c30NyNXB1DUHCCfDZ2eqRFxKKDbXxUQc0kxs
LrL4bH5KCeVGZeGY1QsRB6V7HqvVm3EzlikPKSfQUVPDqHZOWmZ6NAkrqfBvsIoJyxKM/QgjiLmh
xnxqEwzbhs7CKsRz1yo9lZQ0cbJufyOhoE9ifWBYEyU48/ozvDjfvGLCOeAeYCnBaUxN3+tZ0ZA1
mHHHaRO0O8UmjAeaopT3FPZX2kKRTzuto2qkERl8e/iiYz0S4THhRINDaGtUB0TjqJ7Gzc9s8W0p
pnLf5/gLTzPVlV5KvkiSh8Y4a9zpacyrF6+nfySQVjz7srLyuF+2nMzt2QWblcF5XTcM2sm0B3wd
rJPBwXFfWnN+SOBzNpHvjNVpJCXxFQvk9tVeDGpDszLNkGVb7q3R7+/oRP3rpdMxb5E0/W7VDF8a
Um2/KNwsTrpiNxq33q7JgirKyMeUkb1WinSwSk6YFaf1CScmupbGs0JqJ+++tvrpSTeIIiZLp311
hp6cIpsOSxh0z3HfrJwAY2sMX8wCQKnrKnEhZgsrhsRmNxmThoGMP9IZJbaNoL51VtbIQDQhJusG
/3DU1+572yieSr0S/kt3GDq5vR6Zo3fnTnSgciYDtVAF2xGa1WyXzuJtCQ1m9xUqtH9tSGAWzAKD
69QQ/TlfvObaxXb6wMxxOTS66USt38xPjEJp7+WSH/wNAWJSKS41zu5HDyv4zwwl1zefVbrucn8V
zyRp3M3KE9/IDaPd1p301mhs7GxkxoTa5g9ttK1w3n61srcMVh8CWR+1zP2uF0tWJ2Nbqmrb3/Wy
lDGpg+LF6RSWo31dYOfBzG43zTnIyNa85kqngc+U3d3rTc+baQtKkfezWDRpg0I7NZerElYZ4Y29
BNexsKgAWOXuKm+5WlMM3tQMuvb+GaKSp5BIG9wH1aQtN3YK4mENS3f/jvg0Fp8PWrSKeASQEyy1
qhPGUfmxsimoKuac11PiQtDY4AEt1XgM0LK9CMCRR78BeWuOi14pAIRklr31Phm1K8utidSSUozI
zb7TT0GvdKHKh05AgSJUrAw2u0X8sFvs0roJhym8rXjFqSTeQOEqGDK3NwFxVpYgpAoguIR8cKAd
nbDgiQC/oOATxMiOeJUGv8gIJT4WlCUWehQ8eg/wxVCVmQ+IIAZe3dfVsgHKnFF237EKIFJbH5fP
DdY3YWL21UnbwBUUbWxrdPQkmm1IzRZtF/qUGuSMrjl/Um0C9nQrW5xlcPl3/Ob9kFQl2G3TYrKv
6dpPXX939Pa2CIuqpljqBghWf3yaRGHuhQ001LRG8qAbVXMtWrPElNz2r/1x6L62BhgasXVgatB3
m2uJpOR2tum0SIUa2dw1c/iBZq19USnFTq+TGCI99tlWZjzCzOn67zo+oth6lJOBXq4GysFJ/jiS
jXW9fc9dv23DCJcG8u4rEMkg96h5y57/nEN0ucqh0zxmG+pNXbKdAjRoL4bPJ2GvE5btHQFamZGk
tx7B8Xuj374fzItwIwKHrFxuJ9nQr/fy1g9ASHF7Kh9qOYMiESccu9DBHt/PBmMEAp78NLv12PLB
nQBRZ82xb71UczgqZOBfdwFlSLeU5qPsyYkKanwO3ZZK2KYdxrS7MB6Fiz9ZPvEikeCTHVvpzTU+
s821Y1LE1ts7yCgPnwdIj2Lfry3FuTTYzch7fVokZbIowef0tjIftZoEgIR97CvudOIZCQ3xagwY
o3dIcB4BLX0s3s5pk0lSxig/B3YTEdHmlPuUOCuCJRTFyUizU7Ow8ZWxQEHbikWx6HP7UpkaALUE
MyY7hlZhpHC2MD2ITcDlHYc9H+H7Nqs8ngbIEfnsrZ1+oatfyPw1662fIKr+rHpL3fWANp+FR9Wu
rRLIYh5mHqbO9pbNrKOSKNkvujsLejyLb03TkwclwcvMStX5ibSA7ixFBYi4bZUItsxdX1rlLU6+
mP+6uQPqhb+n1QWcDxmQCWuyB51GlLHcIN1AadR5009vyxwf+ekhjvks3DygCSH1TXzDLo6So8Pk
/lQ0LLJckLyDyefLPDs8tdXTrJPpZyyVueQZjJVONzTL7itVSWGHkyKkLcQtKKBumRxikjClJCOA
MMintk2oIAkuiOeJF7746GdKE0j9/S/fF+ZSFxwxGlnN3x3JmSo4VE7NOqo7nGmXfZ3hPU9WDws6
p6pMPYdNhlljeouoCorF6uTrjXBXOjLpLZhEl2+TvbYuCZk0sO9AsUcEsI3L7YPcqoBFdbRkhItP
B4AE7lievKrAW8a3n8n7zDDtoZgdAVR2k0NMWliSpXoek/H/8Bz//6jyd6NKy3Ap3P/rUeXlp/xf
z21f/m1U+cd/9Oeo0vgXYyWEkHApafH8zQ3h/44qPQZa2NbB8MB5xmXi9qfbPANONGTo4ti9OH43
ItWfbvM6A84AiczmjUN2M3/g/8Rt3oFliMjaImMMD4pf6SfGDDCj62l7mn0K8qhsUufW6qW4vNNe
/vJo7j4OEH+di/pcC3U8hK2NVvGByD0PurZ2vtGcPEsal5Vg1gvFePC08ASuQZyD3T9f79f+muvZ
2PEzFEWaDzX+F2pNr6FqFr7O9WqjTEOpMzsJC7UalxGL0lNDfLK1swgRekS+bv6GoPaBQ7PlxsEh
ofJwmUP/yjboNH1Q7dA3p7Ufxx/QQwY3rIyZMs5Y1QNeX8FTgs3Lb2753zxisAQmpC7ZAR/J+eNA
kSJ9j5KbWfMdPoDjj7mpc07inKzvVCdQ4J+f8YcLQh5Fk8JH5AbMUH/VExe6pkBz++CYgQhfeT59
CkrEYFf7lvZiJbP7/M/X+6gYImeBdh+XL2Rv0JN+oYzgtq6vaaJwvW8VZElo84N5u64dfZcvbead
y5QbF79C3+ktpfHQzU7z1AjhSQ73Eoe1FLjnYVxMrEP72ZnmUIgMqF0F6uti+r/5CoiB+KXPZ8Fv
Cpd3ywZEDL9SXPAh89OiHqejQwayTT1gOsnVkFZ6t09bgKa6o+o8G222VGmI3w3gCd67D4DO/ZHo
ONc95wOBd/UinNfUGnoCs13ScSi4iDOqsaS9ED5XZ+dZB9PeUeQbl9rUeQ7Eta9GjAEfB7zW5yZ0
fnP198JRxkXrPa3fTZ7eXgltUQ/GiKlwkgdJFa49JMdv/mwxGiR/GvNN8l7M4qq3tmA8dgkXC++5
DI7AxtoXhp1B8kD+d88nlxSdRbz5sGiksjDlMQyopjCHgIzzvFA3I9NJ+55wAHmNuWCVRy788HCG
UksGzrYR9Aszq1DNg7rTJKdqUHa9zzisYypXmIIzT7dOSBHHLlIzo0KkavOdPgwt4XUU0jlJukWw
K4zeefV7XT20fUVGLiGl4tnKRvWgdRreASMQb77mzqsDdkAO8RKoZ1JyzAlDZKNFKksE4MNk99wp
TtjwHGFDEfjT5MmTWZRlH0++dF6riecItMFz66lvp4CXthJ3/YSBv/Pqaq56AJgKdp3F6GC/kBPs
E6mucUgPc6Ie/vhWs4I5XJRZOYO5vFTDj6po6bCw8RLP4D4whAc5V2ukodTIzhh65PWp7LSuHmEW
BP60Y0yZfaHcCZ58RlyMfJgUql292Hwnc+Par39Unalg8YMuXQdLHzwRlVqkDH9zvgwydjTQGdVe
9djXVWSot+oOpgWN3UzpnZNHxkwUXgnEiLQt144hYM9LCjKafwKI6Cuk2O5V4mgX+mmLN9X2/G3s
2yKLQmWXYcMbBz7mplHXBPrl/d8Zk6SJavIH2DfW7Khxr/eZN86xTINgP3UDHzC27j5udqUUsIkx
+b8yhlkXlKRyistO+QGpG57RW+EIl20ikp1MucuIx6LAbLkuTfVJYO/OoCRpFd6OFWPTMLE0/gPC
1Q39JI3RwwWYBOwmOxNFnGuHBeoOgAOkTGYDokFqn+EJiFg6w//02lyD5ZlOUv6YF0Iv8OYd1vxO
Lpopvww8/uwwNM18GMyskeGql22IJb4WtXqZh8RqODzn4REYKtupnPS9BDvSPQM+Rg2dOkmrs/fC
L6wLcMwU4bhxTPBnIoujVY9uTegRKcs5r11bLrZTutGAMc9X+BQdjiSLG46LMm41NxsfZNYNaTgm
s/My2mVg830Nku43yNXVTBt5tP02JR1YN1vA73a9+P2U/ugGtk23zr1zwwzpAlmfZMOJ6SlTSFnz
wpU2tCHC2K1RXscfQZ5RYA/alOYxHzfj4GRURFPa8wCU73nJk9UMYxMbmv15zJAV5n332hCzfEFR
5NjHTlps2Qhe+Oh6feaTWkpiITODv6BontQDxxzfsomPZX50NcbzcqVNXoZRPDuoRJ/wmJuK0Ev9
2gmdeVYPq8qSJ5VRWwgbRGwZSlURKSdfCfNOnwrm+lc13fEjTvQFNNaVhfUeCproZNHl4PQnX2wG
nwHjkJhjtH10nXq35gB7A7eR7g2LoCysIlc9+ALj33ipe02DmZzZk3+yaiIhZWSIQe2t3iBgnQm9
9W1NZ8dFsVWeq0Ak1yAB6R14WHZK/eDRy7LuqRr716VW2+6fG09DHUxxMfGcVFCwzzvCyPFdFebL
pCUTEEAm9RsRSO8TPnylF+ezPDnWpM2xJTsjYl16OD+3vb8PGrO5VZsMmD7ZfKozQmNaNaAtmAkx
j+3F7DCPJMF1DmsraS6Np9nfKsPi3xecWP1nwnvM5Fvgy7wPu04k7X71SSEIzbScbAykS+26rvKJ
R1eTn7iOTvoV6AxBp934GGFbelxwSwcPAK2MmOENz63yqUUEiOO1JXNtC4LntXYEBu7yarDZLOwq
7S/IQpfTAtfqguUnx0LdFnWsVe7wQ69AHfDJZXvD1Z6Pppv4UgYmcnGqIJzA1qWTjtOsJUKMwPAt
oc9kTy8C/pzZ5Ne4I5jeIHk1UVUF7INE7PCbPB8yeS5s/kZWNnyCykqhHJHXXMepWbLf9zPeadkW
njpjuQ0l2QHPCkSlRYWPGjgsOEwgj3k+mboWl3cd3M8O3sI53vZc2EpW+3VdoBQDYbFNetmWE+Hh
Xc2nD1KV3UFZwqRqEgSyy2nSD17lMJ3sQap/NFi6i9Cwer4IkxBVWDqcj1ims0/X6HX7eAETyPBU
hdELWkmLcvjjZxmN01eHDrNs95xoGseX17Pbd1XfH2fMte9GRkaPtS+DnbFWzXI2pYkWIJyW2lY3
hpvSf+t90D5LsxP02s7Mr85rwb3KeeWSTQ84ilWUqMjWFi4xiDWxagjPmeP6OnEWoGm2e57KoWA8
3TnLp0RrnWc3M9hYl14rrqXoFSPwaioGjgwjfZTeCvYArcS9tlek4OyLnvGpajX9LKZMexv7Dl/X
SQbY17GKjTjXvOAJ/3I+C7/qOck7lGSPVk8aJbjmNpjuPRu33VTl2xMl0g0jcQceI2MB3+HA7Nmq
4KnwRhkm85qmmi+uGniNmkG0MKD4qpPP5AxCy3eVz4zyCWd7pEA8J0rLT66Va9OnGZNUMnRymaWZ
/1CVuF5wVImASQJHY7fk+wWH99T4XPhUy+lBydEJIWGrByAJh0wpOyFcrqrzGEAHuNNdzANUE2oQ
z8x0HL377GKBsEe5li07/tfFCpbAuSpWccPr7x5wmc9O5ZxpX5UW5GeyMracyIyjB0o/1BsoHovy
tD1MaIf76Ny4QYzECDS4spchibrauicpIo+tPgW811Mj7leD3EClulMLXBWmY2U8MPJJWgBeNJ7F
3OehUVKRjG5dvmm57ez9uU2OwdrWRMCThBuzAmXErvDW9N2bVi23gbLlie+awmDqdBhYQr916mWO
ZzJCXDB58GWn21EbJ5+UOy37gkM0LrpM7hRDTlsf7RtFZOQ9b5tzuVHVmZOP8Ki6JBhQs0aCBtxd
GlQ35I+SYMKjutUXkX4Wmjs9961pXdq5LtqIeQwFpOoOVVBhnTvfWbXxQOXHHF4josZx4UpZ1oxO
F7g2KBBANp60Eyybi/WnAzcjuzATS8u941gyi2t0kZvxkDaLSOMEHuACkIXCfqSzQ3BesRuOxXue
onZyraWDQVRWfKR1xm6Tuz1f5Dpv5IAEGdlwt5SyyKOZsjv+5zZq65L+OjiFBe3RcDgACxun9te2
f53NApjWEkfhvBf9s2Lk0m+F7z9f50P3w4XgR24hc4hqaNz+PuUkP2GcinYUx6px2YwnhKaP3dAT
lYuTKbFk9ta6vG+H/3zdD63/doPQ0/Bgga/8wSCFlryyilaJIwlf7uuo1VjSDgQ67SWjX8IY6mZ5
cAlLZaeYtyr3n6/+K1Oai6NpoCtmgfMjfhX+L0MBemK4eCo4eO+Gq9+bj/626xbewG4/4vuBkF30
tCVb5c2Am839/Sf8f8Tud4gdtSOa+/8asbshl+D1ezYNP8dx+Bts98d/+WdGZPAvwAXXMPBUsjxD
/2tGpPUvBwtVLDo2gMl2LBDCP2E7811HgGkoKAXy6c1L+k/YzviXCfqFhQ5sBeYGuvs/gu24Avoc
NFpMcvh1v2iUAmvB5l9o4ujn1VvGcP6AT34S5j7eAX95Ov8GtAOe/GWnMDwThIdeCor6B0k9OEpj
bwPmo28SB0MuxYtoWhXKJJt+s2r+3ZW4BlYwGHRg/bv987+IgdJRS9ZelAKP3XKKkkm/HdijEZOv
T//tW4L6gw/upm7SudbfLzQj9AnafhVHOoS3sirfEi1/K/j//+Qyzob78sY/vCMMJzGudNiDMB4I
dkRXd+EAdhOVKv8PHh3fKpImLP0AG3/dcFKh1zZRLYJAz7q/VvoEv641/eu+KX5zU9uG/feDA6sD
GL8Ixqkh8Wf++7Pz5hrWe0BLnklZhhzND0uqtlroScy/PaU+7uJczGIPx/sRytGv4KJmOC1rsxVH
yIHQ8hj+HAufiGQwklfdh1+WE0MWGgshfP/9V+e+uxe/azJ/XV5u38JfgW94hCzUfpqICgidgOAu
THet36yvjycx9wiJiV2BA4tV/fcHuk7FtOCoKbC/I2G0RtmwK0w9+fQf3NBfrrKxkf6ytjZN1KxB
wz9qgSJQrldPcy2bc9P/Z4/uL1f6ZWeSZZ21SFj4QKoJBFEVr2vL1P7/YXnpHzcM7LOA17GYDjaY
f/tW/3JTbVI7ft2K+ihms40FeGQZLoK+aLXrZRcglImNoDf25BY6R53zNy4qK2D6aDdnlEz4x0gY
A+RgYkLcQ53//k789IrEOm25ufvJK98WTK5P6WrMN8IbEtRE69aBBbDCWsG/smRJvYOYYyJoIUDH
U119D8Rmfik9sz05SZG8zDUjRVkr55h45G+2SxMcQI78uPQUUZzDMiFJgSYH57BjGjyOuOBNZdXs
0Jk2n8iess8E5MjvXcIuD1DLbyfF534p7PZK+sNcRJnnZ+1usSv9W0HyF95e/B4NBeRrnXDT5TyK
fRuk4hbqfRuPDvoumEgJsd3GVNFDddYYHFyywfadDn+96ABItR5csNa5u7Vm46pJroiQE5lInthc
sjQntMnlCGggN+3Rp7djNDOxOts1g1+wlfbK0Eek5jUDSj+otcirdPNLms3OlUqN4iX12+rJlXDA
usESz51bm18S7l2EngS7EbU9rfwmauEw80QwRpa1sNaVa1NGarAvngZJNCJj8vpe0/LxJeHREAnV
iVt3Kt50g3c6EY3ypfbzNzXI5NPoru1JbltjBmJ8tVQbK7hnQJyytgPa7yIHx8SC2j6xo4+EfCNx
mdPKCikD8i3OcmrOeQoqFdqAXpfUEsFt4abNm0vs7sUgnvbgThXuJLQO8GvfP/tqIIyU9Ev/OnN5
ZGXOQ8AGhyRVO1uiuhPpo7+SFMRUIi9fAnLLwrqTbUzK59aAklC2ElrXu9Uhh9cvbgyYYEHsZsn8
NUuEFuyQGAw+xsYlHa0Lx+eapIf1i08myCNtb/1mell75h6XHVFISYjErzvahRE8tfSCjxbpyUXk
MFMnawkgqATXzWZSpRRYcY+DIViYySsg+bx0iF8VAPt0Oxr2YG7wNHQ9y87WVy2abY64lUA2+Ali
i+4hRCZ7wkovnQ+T3xSvAV4CIFKsI6yrUeHlwVwd3pFw2Qfz17VfywNe5yNeQ1pv5vtCWM66W5Hb
dWE/pHIKXVUa39ZADD/MlbVla1D140o6w+fZAxJMC9u5ekdbaqhrDkCQZp2Rj+bQ9jeoiQmgfXay
tHzpUrM5q4TYMdjmZlT2xRuUgQClnWud+SHGnjDMJdaWAYAzQ3B0IZYRWUdaBWR08YYmi6NvIlwp
ynw4M8BkySfaYIK7MqGyn40InGNTujDg3Mxdr21j+iqGZT5gQkTaXTDxIazSb0jFyd8GhINhpxEM
NhjVgcy9n+PUe3E2qE9NZyIImr9N2ZKf68aF2JUI94qj0LvPJhYl8hC1g/Qz38xjH+zSknWOe1wS
msIrv/iGWK+IhdnXK4yadFVijGoJakfKXJGH1ljxUbMrqrusYtbTTEVwa1FUQqxn1ZdTBRFiFgnM
TrKYV8Y/x1qO88HYzl1hc99mXbzmg+bf+ljHvVaKREdrHg1cIiT8Hzuxzmrii8IePHmZ6DIjvVra
eMa7aucMK8uoZlyC3eJE8ILWV32Ygq5EGQHQ94bbd1BAq1fHYaPse/YPsiu9+zUn2tPs+yVOvA76
GsCnf080Xw9fj8gNIk34DKegp5/Xa2DUpWATM6c2diWX7qHSHZmmjQhzDPk9wxxINBUTwWAg0gw3
412fV7eWIFYtk5bPS6jF7dBtdXXLsK0yBB8TXJEJMMAAACUFk+yuAATOhRr1vusiK30eS9/4qUt2
q3n7RhydgXOZjPmlcFS6Z0wAaC2pJEJNGx3yop39ADU6IkzKjBxrZUccWxXNq9t+RgAY3K4ecLTS
vT6ySRqOJt5wAYcF/C7lNHicRZpEvts05wTY6n6Y2Hs0Ro6xDFj05VzzzIN22lsFRkppM+cXi8Hz
t8CYxivIUdSj7XTrl0N1HFx9PhQZdiJ1kGo3Y5/fWrk1f9WKYrhdVDbeJMX6hdBDieAM4ajPVOtg
r4ZzXIN8hQDa1beEvyR3VfnsdYToIZl4a9MtaWLMP7Oen/pZT48m/sJEH9ddNOoW9lwLqiWOReAw
1/6mOe0Umh6H3uY9cdLyrHoivq459w07jl4zrM91Q2zuj9Ck/thkyTHFpoN3sKf3kgDDpIFzbjcR
KRRqOjJxtfsD9NTQhDwpw3EIigZ2asVmBmjrd3wiRVBH6GnLUyM7PSCh0Nv8zghwiZe5W/uwElZe
I13oRh1Bley21Fjz81Cb9Vl2Vn1uvZHRVOsjMLKqYYonA1+UCuKawuvzapGmqlcOH0DkG7f2JCNT
+KfYAZYFgZB2DiB/lkVgMY4ixnj2zwjh2iZM3MnyrIhaHBOKcCVg4G1YiowY4LmsfwoHaZyRp95J
+Z5AHrwE/catcnQogop9ffE3i4NohIBw17geWYKFTXQn3OO0wDwk6220DpMxo9Mwhhe/1Es0gKr6
JAuLwYkA+6VCWBLkScJb5nNTFWWcC/2b7U9HURSMlRcL/qWDLYTpsr7YOOZ7xym0G8NqNOSjXk2I
im0uB9apaYVtgb5jqvzxaHaY1aoueS0zp9x5uKYRmAz/m5Rd4ysGG+oycUbD5k0BXRvbnLQoqKz1
wnJNv6eVh0arNAYN0qgKKC017ZQrR/f3Xlqzv9ku27edUp3QLQGebqNJJ2bM3x9LOMywqxdn/o04
/qO7xCaP3zCnwEEkgQ3534vRYSV2fBr06giXjP3GlPMN4Ra6h2MadQIZ4/llAYdEpLpSV5RB316x
4J2r0arRkxnB7xq1D8jbH3L9LSsCp/IPvAMvJdobRK46wgR5mnRYfyV7qvTy16aaHpKFY+6fW4wP
nWGwWcSZXMmgHsfV45cHYM9OnUL+O87Mim4bUrA5oBh+NE3WXmk2KZf/fL2PllvbBT1YSxgtWIRb
/dI5NRuub7slVss+4eNbyGUb50Mzixj7BTC/NtiVQ0Y96Pjy7v3YkeT/uofMlMYeha4WJUR2vhLn
Oh8U6dm/aeysD+0Jvw/m1way4lTxoSkXBCWQsDWVx6yu7fM0D/Vba5EjGMpRDnodpjbFdlVVLKSs
MMbL7FJrGsx5boVBoY3w+ZVSpjn7JnPwxaTzHPJt7FItk3Nlk2d63fRFDwcXlsH/Zu88tuQ2sq77
Kv8LgAsBjymQvryv0gSrxKLgXcDj6f8dSbGbpPoTl+YaqFuGWZmFBCJu3HvOPv2oRh09HpZDrCIE
zJmD69ZiMPdAsIz1bjrAaAKf/9l7mnDvcDuzAUfLDPYRbcZv512xqoidCqc1N34FFBLqu/ihbaCu
BRUlejYHWcXPRKF4wE/O7pUfepiWhBwySu5nMFaTab22KVmBuGEQ8OB729kS/znxEv8UzO0rRRSy
IUSnJrfpT7cnWMjJgVOVHnzO23sbicpFY02/Wgb+0rHgXWhUkOWA5Ixm9k9H0iEdxsipagbWFsWz
A6MbELvThy2+M9JXc6KKF0bo12jWx9e/fx6Mv15jShT8UJ5i6iLq++m9F5FboywmSHPdFEeI7nE1
alHk/1YOlMZdPdkMXjTbf66s5Tn3F0YxjT1t+4V5ZtjXjNnVeiv7oC0Gz8SE1lBOWrk8UH9j38Dk
+dFGIuqPWgSk92vH5d9+9a/61Saque++6L/AcK6/jO8f7z80qr++5M9GtRDWJ50ZBxAcOiHnvvI3
falQt8h/O9O6gsS4jmHZdLUVuPLPzrSJ1pRJCV40jy4KYtV/1JnmafrxWWepI/5P9QhNnjiDxMgf
N4Kkt+axko155Uadix7espnlC03iPS3wgCf0EzZzU59oaLYiqEU7bpH0ddsJDNoevVrLgF8fjFcS
gPPr2i1kctHOo2mFRtPO9maQ3L6M5MbXPqc+6+MFm0KzGHPoj96IxZeQos3swLzYD9Mi7gesaW/V
GI03q/QjMkJJoqV8WKW7Bm0kp11akgrh4ioPUTZxdnWbpd87Ph8xaJJsziH21FbGeRB9vLUsLij0
mZzrAxrXlXzPPKPtMhSUNsWS5x+tq7U3aUymaDDR9bkhth41DoNMfnf4CIq4O6e5e6wXaa07slHm
Zt9RK+oYaezGUPaF5bbFd7EcY07x2aYsl1k7eXzAGmHHSrOobrE73hke6Zs+goX7NcvHm7aYAjzG
Rb+ZEox5YQRRZp9N0j2UjDbbkHYR8IV0pj0myZiuNjRR5r65MnPjiSe9d9dmM9Ey69tDJGxUHWVk
xKa79wi0J1xJpvqqE2ZaykpHJezN16a7lgBfWT60o9WJmsZKE7f4mDLaxsRy43gqtGJGGVVYnXk/
YtoIJNBeRuFEUo7zdd6Olh+BcEulH2DZlyVz/saLOVpbJgsMdWUW3URi0XZjhBtsCm2wZFgHsfi4
/SVq4hGlR4uCuj5gkBYRfc2kiIi86kZ142BiWOfMxmo0E5cY5KWDS+LU98PQ6Ne4t7PelPQWunFa
acBNxtSJ1zhKDGN9m1NApfIDf09floGdr2sR3Z2f4n8XvF8teFD+WTH+7wHd7Zeqgmg/vlfpj8ve
1xd+k9Vbn1DaMQVD5UwFyN/9R1bv6Z9stQWC3mJqwHiOFvR/V0H+lVrqKNFZn+zvVkHoYKpEAT4I
bfw82fgHsvqvE/QfKh78yDi7VW6PS+3386CkKM1uLRt9Qfdb5QsHwjoVxIxP5rVBU5Z5kJHBFYL9
xG0/9U7L6bST8og2TxB/3ZL1HSaFDn6u7XpOLwnTES1gejxspP+5GfvoZnKw3peL0DdWihg1WBGn
CYXw7JDALpztnMIAVWOiXYP2RGM8MBLG0VuZJSscIqN+BuMtTwuyimsi7XS0SOv6FBmaiQIVO95W
+jqm5KQu24c4p9oGZOVTigp6ESRkmE6Ffqumm1Ezw5mYZ4O/KQdSiaHIHFL4Ul80IeLP06qlVzOv
ebWXOhs2PoKWy6QsVPvZxbQZELsAE4GsCihM2mTfIpguLkbTz27Smp7DOHXaXtB5CCM9wq5f9yM9
+ynKd5mL+Y5FIY/DeWZN1yQWpaIsaQQhtcOkXtjmkye5zEJzkSMNSkRTUZRtK4T7B8No4y2IAR8M
uyVOE9zP214znR2d4vIO1119m8Fcv8ErjkB5JKL5xNyjQe61RmE+Je6OMZneh9IrryqX7sGWvWFK
Apk3axZWtv7CRtlfDrX12tlx/0BWS+XtPRn5CjeTxag+Bi/fV3Iwn+ciN4gSN7192cSZ6v5E0ZVF
V3ezmHoekg22Xtn22N27wK7IgTjrUpRCpVNaFXI9793xVi30mw5D+95C1mINQ1qHndK6CEhKb0Lp
X2Rpzjdjl9kY35ytpnph9lkzo9QzMCaLk68UNX6TVXe2jsomt4wXtL3OJlcKnEVpcSqlyuEM0m4d
zYYojGRHr0Uf5nmW3YNY0W8GpeyJlMYndup9noG9KWGWhCS709o+64J8JRHK/MjeDUo25E/TZxH5
2q4+K4tAnIp7bnI0kUp4BN6kDNbCN7cCM+0mJ0Z141T2Xc3dFuK6uYDamKh2orNBZvzKARuzlZI5
JUrwZCvp06REUPGAHEoMCCoLJZGCMBgfGyWbsoumuVqUlMr1unaTKXmVFMD6CG1AcjW23DdnHRbA
G2PfMPUJBurlTXZWbDXOYG89JeNalKBrjFMLcZfDEAqplxcVc7rrfDEhArPFaiEJy74KxKavcrFF
Q8n9YCAynB5senCIyuw2T8SzsLgXtrqdpReO1N273kui5GW2VsRWAxlu5g6jObMDjHUL709nz/cW
48VHw60HBTJsQs4jM5FbZO2a/UoYVJUdgcgxZCnqFen9nOk4KPeyBuD/MBKPNT30eTqgywORgRI5
R6KbveV5L9dqs7KDUzJBHTFC4mF8eDqdMbOyETYfv5U0opjyJUA8NrlWl8im8A/q25lGA/ZQkc5K
A4e1Ot4UWeV5sA7MHkDV0nvWG70uuFXuV4gV18jHlVEMfX1K+wrbQVBFeU+yauVE+TFDKadVQaKj
yH6s8sFZQr01geIQOGBEPFhi3v67U1d92i+/2qlNzgl/t1Mr89vpi+y+LD8eT84v+7ZPm59wvTgM
aNkNv7rVvh1PXPsTcWXEsRm6q7NLcwz6tk2LTxSCAFo4rqvYHWWa+XZY8dDlqEk5/0W3VHDNP5HR
sCH/eFhRqFB6SByZqSFc6y95XUYrq9IcbHkA45SaYSXNfktEq8wvmLExqyQ6dXyI7S461XqaDMeR
1Na7pIELxbomljyUoJpACOR+GrrRQE9lkPCWmjnm2EDr9A4cN0renCDV2G+Z+83axDxJJOaG1mr0
OBuV/epU43shFrAWRflI9IbNY1ivd9iqHmuWgLAgzM1imy2gBNlsmtTRmJgHTlYEMgA8v+8cGgt9
0+uvfi7AADARNe6raspPnRx75G4eZpuGF06Oq22BX8/XtJa6jWCHvo8YQG7LTvP/6AzJytHUJs2w
sVzlMR4p+JHq5c27OYqesRXRl6sF7el8obCDMJ0BBc33n4YaXR09mIjVOdq5XNnqBIPyMCuH40ro
SeiaAy/s7KkzNgbkQaQ9pV/6L2O2tnFYYd94hV25XjnN6APowLde6lifaZbJI+IF3l14wMyrDKtt
h+OAAJHaHALcZtJmC0+xGE+dCZs684Zyw6xSexsGsJ9ej3kloJUuLhGW+/p+skXxvOSFy8g9HsSr
RNOC/njW+WlFmcw3HqruP1aAzeFsEuALRiX50Ipuvm7obO3Pn69Tn4o7mzxQ5BryaKC8Rhyq4AGu
41bTTpdDtcdIMzIVwNbOBEnbdlD2ttUKXi1w+9S4jD0xQF4YelAOl44RJckhKgTgWKfrpblLbJf5
uLmaNYMKTn5BpdU5GS+YNaXVg8jIxmHXp7HxihGbhC7RLJ6+51ZRfvGSe8GDpJzRSd/w7mnod52d
0hO0IaECmHjGH1k8JI1cXhF2d5deZfqP2Tp6u8Q0pLNpy9Y8VfYQX0StlbwQ22EGBX6JC63hy/ac
LEeD3zM4Hmt+yWy1ta29GoCubcR0QW63/RQ4fu+wyzTr21pNyx7mib8vCsP8Y3JMyFyRLMs6ECbG
DUT2WUoMQqb3yXVe1PwsH73KzqlppRuhxYEfDe4oa5fRRZx39xGsHGA3Ux6aqkxaez26KvGvUDsR
joJQwhdM9xMTlCpFVunNWs1kCEbJZobt7ZHZoXcPPbUZCJThkpitFw61C0OTsaWGy4ZVW7djXlyV
McgVBiQOsaWq8EO71oSDKgbjc12YqhKR82F926mysVMF5LQs5S3ecHHCjYAbRhWapSo5V9fpKTmt
9ZRYSiCfGxhzJlWmzsh0AyTQHkNMVcZOqqC1VGmLiyPlplIFb6VKX6PuFbRKFcSDKo3bxuyucM9l
N7MH+qdSJTRWDGMLI6c/062oseNzve2p0pvUlnTYTKogH1VpHqkifZFZBqK5PsqFr35VpXx1ruqz
c4WPa4FqXz8X/uczgJap8wBIqvahPZ8SplEk2yEZOTsAA12fZpvNf1VHC5yEBBPpTf2sOfayN1qX
QSu8zLqHBNTo2raiRMAnX/TweJKKCdZQcY6ZWCgE06JJx4jGQWcC0n2XzGv34vP7m0daIXN2hH3k
dhtnjeVpiLIk1KhQVw7zXt4HZYUxItBxiIRrguggdKtGhrIwkkeGYfoazgW+FANuysXYZzmwA6km
4pnhMB13GjBz/jgDaIwrRmslcwK9ZUC8GMc6at3rGt3OYw5FFieVAZTCn+bM5C2KHgwB0R90WfL8
5FaI4kACrHeGM7Iqdc4QvZ1Xljbvoz/8ucQXVPOEGmIV+tenCPwEnNGVNQoMIQ44TWdZReE0smos
7DCydqr9DDhBTa8Ni8dhMu6Frd4I/sW8qYyOT1KM8AsmfRqbIJk0v7pmt1+uO5nXy6auSQ/oBs4U
wBf+zPP8t7Hxi3LJNIH+/F259Ehj40vXffnyfbX056v+rJY88QktoItb3FK+/m+Vkq9/MgUyZPJA
0JJ+bXb8WSqZziewbPDGoZSqckh1W7+VStYnWNlndZxnk+xIC+IfdDQs96e+LtBtLNeITHWitQCb
/zzDcdFfaQnpS+Bt8k40+9GNOH+rWK2JvaiEMh0o3t10SWQJ2qauXTaim829G0fuoS0ZIwOC7cqt
Ybviumst53Fm5Lx1Ur2CG+h08GGkuS1jZ34tOfUBLSWD+d2PK3E0Gh1ktG9PeCVJpHAj92MA8Hgc
zS7e22kVb/DCtWT8kG67rv2wX4AaBC4RdlgW/bnb2WgTKKM81txsqV/J4vHeK9mVx4EHaQcvazd0
2FR1MCvhmKVgmSQmj2pJi0cjgZeFiQYQJoGITv2aiKHdG6O2nroR8jo7l+P8HjGCT4K5bArEcjKO
r2q59E951gMmz1b9fpiksamAy42D8K/0zGzRxsXxb7g8MBya+cjeMIybPEWkFWW63EtUH4cpRWYi
zeWubmr3KNkKdui+l2AdRnFTuT7YmHxj13N+q3kRzpeIGkgsk7ctYiZsQ97aD1I3q+3UWnrIWc+6
9LO5Ow7dqqFKXsUJRJwGbLlqtrnRrmGCrWXTccS6ap2EDlDraUBgSRh5FHjjEJvZ7mWM7HJvNaLc
MZKE/7d26x0CzO7KTbUoAAf+6Mzl/HnhaLbtpgyfq5t3d2tOv2danGLnYNzfaM283Ftp5v4+0JJv
quU3vUy7vWjM7DCMsbHHvBc9j9CvdlkWOZA8nXy5GhYju4ppWASFh9KKrk9fbr2yGDdp4nnoV6Tc
4fejacIQcAtywwhijz2QTc3/3ZPV9EeMSGK36qgtwzYqESKBUrizlqkrLpeseUo4Vj95M7meGrNM
jMKrrV9RdI0IDRWVEvl7gnQNBFcTgzSkZEMltObeKdKd6sYkzOwK48dTMmt02+Bqt4Sv1vndXLd0
8KEo3RilxGnVojQMaItnMiRUo3QPg0bA/U52uRrSDlaeh+swTycHVF9WGaNPN0PVg1bjIV1qOU+3
tVEelsGjz7T6BGUCstOrEIliuTEn3D14pWIX12rJTA/Bwa2m2QefrgL53VV7JR3jvS5aN7pszWJO
LhpRvDipdO/L2t5Hmie0Y5cOVmTsi97McjcYSSLzP2MGbtNtjHbgBt97d9sNhld+9iucjZdWNQSV
1w9PdjObasKQSHJjc/fRirpsi35FbOOi8k8obg2gpVGHvKxJnOa+mbUywx22jPGhsdxcPhnFZOXz
xqbG6rEX0t7Hk9zZXqdhdaTYvmGh5LqXI2V15MAuxs8TRzrbaguoXm+0+Lpd3NJ90QnpbuW2sxdx
V83+EH1kUduFUHhIi0XlkwhLs7b6UD9w59p5gE51mMB4WyIP51HZsvSejDoXpaF2APYGUt+uC6QG
6HwQ+301wkfktFhXU1wqQzKMhpzZG3eKvoj4SOSSPgZVO823EI4skozpeezp/47NwV1at9pw6PSB
hAnGtNvKznlL+IPSCUh2Qp0Z0yrDZ1ugGdAnWKmsfco+lEdIMg2/gz+LdiRDZ5b6VX2DhdWoSc4Z
2sTsL3KkkTo7/aihLZ3deKsDDbyZR2fe2dbEP+oFWGc43T3kUcLRHok5Mi6ko3USjJBs9XAt/Wmf
MYq5qnyrBYpIao0129HGzgsLDR3aJGjBRrKv3NHb14nMbyujuFxjX7iBRLt/OSd2chHB3oAm1ltI
aDEw8FCNKQDuoRqIc0Khq0ZbzOOrTD2rGetX7KRbEmlJbdTdVH9wCX3eOgSAihCUghY4WlVdY56t
773RdSCgt+ObnUXGEqCTuliUPrdopdjksxXv0T6tHSEvQwE+q1uXz+3S/s4eJa8V0QQ3WIRcekxB
CRp6qz8g9I52QCS8Jxuv/p2FyJTNoQJjF7vdTd17OCe1RT+NuCY/r4Zj3yKk2HQgoY8sndEB8bP+
mrsi3WDj9t5Ggf4L8azRQCZu5wt3ddcr4A5eELczxKdpyX5LmFScbDhP11AYdr1WWcEMvzALezOh
LM4YfBKKHq23jp/RjM/9fUc74Gl16/64UFPuBbzEPeNG1H2ZoMm6dhpogoJMB9fymR/K2fBgsLHE
Y+pABiVhdEy8/8PsW1CwBDVvzNHztlliqFlrkm+Bu9O+5BfYkVINiFpMVsLSuFqvYFRxe46237yP
ntFfCXcVX8aBfG67X4k7F5Hg7NqaL8CgIXf6dbxpgM/twEQAGK364jrXp/Z54Dm8GmQvb8nW9C8x
91aU6FV2yUkb+aOZjNc5UEeaAIVzKNbxt9az0svFSgg1qwf9OooQMOMWdqgEFCpx8Go9rEtTv+5m
CJRhypN/a2fEUdBLku+ewvt2Tr4x57W/k52tqIGl5xxLv/PvOBSuFyLL69+nLm6DZi71bb7U+pHK
/yVCdhiC0tcpHlzc8gyBtzQapBfoAo9tFelbi1PMlZ2m+oWpdRw42P2Zb6Nn2VgiIXNiFv2TZgy9
txk6fOOBheXAV1Gk3Tg7jHfoT4UrjVsEh7GBUqSkUeUEeu6IWB1fJg8HNA81fZxNHUEtMWbYcrOV
ZJjWyapid5O5X/JUOUviPph0P7DocuBL4+Sxc0As/zu4/Bo+9Iv6nufQZJL4fw8uVTv06sucfq6/
L/D/fNk3tYZuIrZQ+UPY3EhIxAX4rcjHxfdJtymtydYhndpRlfy3It/lRfQufc9Q2oof+qG0Sgm7
Jd8d1Z1ucHL4J0W+/ZMbibKet4c7ZvHgMTu1ftLUwWcs1inmScREny7vVq3QnJXl9uyTia/RzDAn
RpMLccN1V2pHNUywpdJZVod6SvU9+8fyIc14KENNbwgSyZZxvZjZxb+0sgBX4bhQhdpD1cdOjpWG
bWqxHjSCb7yBqJnBMBD4F0AyufWXGBPzluF7lvg3eqr1VM81la+5RVIFA/6BlBX8S8409vpbAR01
pTK2eNZCmdR6VZ5ST5tCxLFaYLA+LrhvYoJY5uTSGau28R4S0nlqBq26x9luK0qrR+qbVU3ZPcJc
csTWY/sr9Je0dXsYfFXDoodYVi8r/QIpWT5s6Ql8Ttgyd27bLLesVxUP8zJlvJQ8+hWvJHvYV+r1
vwfsXzyAHGWNv51HvCwQBar4+6fvz9f85+lDK4U813UQquqMKXie/2TxEdTOf+IJQ7T05+H72zBC
ofjQC3iORT6jilj/zwnb0j+h9mPGr24QjL0oDf7JCfvHUQR5YbYu0HGhGbXwrJ/1pN/Z2YC7iNSO
2ul6KD/irtgkxe/fLUf/w8r706zjL2/wkzBLzmZRNjNv4DEiSDwaV/47uOiU2Mny4+/fyuZKfi/4
5LAPcZehjmlSZFi2/tNCsgjsLDbhjFdE74B5YtatGayIC6Reg2PpbwQ3xN7nhDCuXt/rjdFpGJ1A
cqTVCWR6G5cfdVt7LoEGpMDghN5HMtb3i1cNX1LyO9PyEh1Yp1kXukM2aIGkP5KPHognmAJaHT0u
bb/LjNQ+QcQTt1lbY3lZKDtIp4eGGgeeKW0EEaOjTTRbURv0iDPKNsnpZ5KSJUPHqkYXTXvtMW1N
GfuyDg7GSWICeUI2O1wUkWIXQzEsph11X2GWF25PvWXPDkglwTT3N63WWeE09uLA6w0ZMomyzBtL
c3HmZL2faA+TDjCDaB7CgHytCXsaBnME+EVyGD5/I/+uGr9YNRD7CrRBf7NtQ99J/l/4LusirX5U
HH196bdJpv2J0txxrbNdl9r+v1u3Z7EJC3Zznl+lHFJLxLet2/nETAgko02QqkHSK6/61p8zP/FH
BaQInnldoFT6J6uH+xc7LOJPHjcfwSVtQt089+++Wz/cfG5LWXQZ4GTFkxA+iPfNSk0LC3iUWMX6
kVQ4omvcxDlyXsJeQ0MJxbez0gsOjcnJIFettKS3tV3H7UErajHJoIEgqQc6FLEPhBUALCPI1A0Z
Vtc1T/ixtzgEAhIm86Ogdc2EVFCUTrgymG8UytBIdXvpEwbwVikEcqOvEDjGDDF7MFVwzUViWDTj
FLgQo2gV1lXsOMGAf73ZG+iQOMHnmnqJGeHdyLN0uTVa+F8M9HjjiRECmJnOm++JkOUQnor5K+w+
ykE1A7SbXYnztcrrU23L2js5vtt9dB4H7EJlZAUiqbAHVjFAwsZa5ltMQ3BBcmVZCxpfkfQMI5YH
2qLiUVVP766Baa6uteFgjon5hJeP872Jt6wzdVhTTtmJ69ho+f0bep/PmUNua9gi0CcEA6ZXt4cI
1H2AHOcKVFZtPKaEZb+ZUUuzYDYlf+wMR6EZY78vsRL2DzEfwBbkswVTwbvpZgzyOkKaFQ4m5xcG
bTO/tZXznl5uEqKW6fzu2F5oKA2Tbl47VlpeVPT0rk1ynS69MRKBnNL5KovS8WjWPtYnxfGCnqOu
pzNHCo1FJISz4b7m33z9QgsdJdgmxvX2bAzqGz4jpPhKu+4VC9AyA3NSvsw5N3Cg6V2Rp3cgL/kV
arx4GInQ3bAYdgXsNbsYuC5TptIW6Zgp4NFiAbN2NRfIHMpLezw02Mn1FwZilrkrypUZHmrNP5Jo
4EroYwU7tpjuOeLbuwW2vxUWEZRGppDZHTFUjCGLudVCepXGYwWx6O0Mh6vtkhud9sAQ7dBE8ZNW
+qZxABmGz5aomwhjGrZIZ+Kf3X7kbjAkcW70aXuC187MOKgPtH0KBF5t2MQdN58GMWATjUpd406E
D3H6Vm2WvhHXydTyELr+zBdcQ6Q1aDXFqvjN6HyeqsxX5F2fUdIW9ib3m+CxvKwbVIqHsxtdgzFv
hgvhV/MuXQesvmUOQ9JkNBUF0Pm4YyIBSn1GchUzYEZcxjyN+wS0JehMRfnyzB6IqD0AzRQdP6xv
9RSEmeFvXUCQ9MtHf9soap5ssuj5fAufoVpLjle6Vg97pm7SyIGzN5kDl2TCYHQ7xzwKJX5cokIy
MFukofrPHFi4cD0ZPmbYFJ4iZirS6FcE0PmRYLILiS1duHhnKBIiXvNIRd2+rS6+xtZu6G05Aw5l
a6ojsAt4+4MGah6DcGqDsKA7XgRODc52Nbx0XyT2NAZTWvLr6Bi4027mC211RbREDMoNpuFIC+lm
cH3OvM5RseAWrJlGwGTFPGKTBnwPCP9ypfWNlSZd+Al1IzhmF5oHhnRwu8SkkhhprGooJ1lPSVPf
6EXjHhws1LuvbLp21mjBJsjdsSFzGcxZxtNuxeafKM0nTxgTRz4Qp/r5vjTA7N8v3dxcxdngb1Ma
rHtz4Vk+ux+9KsfiTYwCPwdTm3XMc6Z8GZkCj7oOELHHMc0VBNRGG7XlDxlJ3r7lpKwdfNou+6hP
jMczbBmb1BSRzYcz/6HDwGIB2CIPxERUdznnyjyu+bQ1NtDkxWOkr2tzimsXMppZlUVyKiPI5ojF
SCKxDDhq48S3VKSR9d6lBksz/UPuKebh3OCLA5U8lB3WKn3yecLnSojHdlgwBdvLtGywVdKCKkkN
y3eigxV8TuqYEMrQ93RacZ3WvngsYTbLTYYcMtqOvoJHuYJ81hNNc368EUfdR5zjdEoTm7v7jI5X
955MbZFdWCS3HwZgG+3ufM9bhsWL9J7fOTRadf8PriOuh3T0nzkJ05Ghvuctxkm0/R1siHym79ex
vsmOxg0yAnU/+gtWeyZH/rNmrnyRX5e0rBMQvhqwBQbWUE8OxwwNIX40PPFy2yCxubUcni5Cz/yM
kT2Xl6b77vzElaNnPU9VPxP62Noy2Z1X1rpOsKlN5D0+Cxp31fMUx0v+YpPBl6JIVKuUGCest0lv
v/sFludsgDshksEALVh9VMnsH2XTqM2gZRISLJHKfyDGTlxPq81CVlA/gCFEmYLHMkkqkdwYS7Ic
WH5MMl6AJ1BCBHFNrETo1Kt/UcLyxLroRmAqZZf6xd2aFV8ynbgkLyx6LX5mK8Xr1yNhOFmVzlOT
DzMVAs+k3CQsMYADJsPOQjqIzkddlc91LOQJQ8YAsmjxJiYyjikfYWEda19tRJ1TFY/pEjcX7DHe
rahcPeLZHc2dbFEZtALLHKjo+qIbijgcvTh5St0WZOtSRb+1pGhpRt3iEsBNJgmJ0d2MZyAYSlFq
06Hvl2OXDM2Fm/myjG71xKqJj+pfqhb6ZdO1Ow1N0y3ZGkFWuvcRphr9hekVw4XArUsnOgpRl6yq
yklvOUgmQNAaMEgalEeOsVahC8sZx1drZSGRHOVBnOc2qRrhaFZu7vLzXMdlwqOrUY+dJUx9NHci
UhBxVLLsFmcp3IPPbSnDuBuQQcJy8PGLWuuNN/fuiVAdtjks4rg61LyJDIonS42gNDWMStVYylUD
qkKAwHMSr97GxEehcGhmeMu5O1zIedSvwFIz6eo0e37HMpYRHFM+WZnbFpdF21l3KFGrrdZD2yCu
Q/o7bzRHXMgM1BI1Wusm4kBXNW5rbTfdeIzadouW+Qd9bMfNogZ05XlWZ1n09vHiZFeeTLLliuvl
fDAerXYr5kD28VQnznN68kk82+UpMwE3mn4Dlcy8hjEhDevlPrEXgLJFa+zM3EVl19vyrtMZhzl+
5Wxp686fM+aPWuYi85267spLk/WuXBfibNyh3NWLZu0jIpIvkTBZ27jtHlt/YMIpz9POrmzrq36N
WKLykvpkYs4XUzechpJ0UeT52sH26+6YM6K7rM1VD7loFSohxqyzg0iLobW31Xz6TBkrVsAdkt8S
h71xqTq1NRc3bAILJd9YEe2hOcdCjXaZdIRmZVYHgz7S3lM7hLk042Ymcetg53xhXbpob100I0xu
pH+1ZvbdkJbGpseweZ/T8L2sl6J/MgihuFzOE2jtPI2eqF1/788z6ghXywk+b7vP0r5+JSGTaXY5
cG7l/gaJa6hxtzuZ2rXuMPph53U3uWeBwLEVfDEvMa+77ruWl6+zppRLwiVBc5Sy22kut02wuBNB
nWr0rqshvK3G8Sz+8Wa1CzaiOGFYX9kfjRrfG71QnFxG+qxW4rhk0nyPpM5QCK/U/EpFvKW6llSC
ShqwKJFAr+QCuOnFNSu/LLdpLRAapYaL8weJQZkwTuyU7MCeCjFdJoPmEgBuwrQYWEhg77Wb3tbv
xykvGETahVyoxVsURPdpJOYhEFlpFQd37cb4g8U/3iUZYGXo6s0m0saKsBziN2VQx2a0B+ylsTDJ
1Dl4+MmfNZIlSZNzIsMJ0kEkG9n0nECSdkurs75KO56L1Oyn5waD23GlTc+MkQBLhAorkimdf8zc
dEcmqf40xbPHLQ4pxNJOqa0KPxbSMvU/EwkRX8ZteY2qq3vREn+4KKV35eQV0FSqgYdyMJD8TQzB
g4GzS3/KW4ijL53TDPqxzJHinbRWrMZwYNXydzSoh3bCKaJROcUc3LBaAfaimh1rjiF2WntvEcFs
8kAS9NQsLN+LDhLaFmCO926W1asdGoWl6XA7NH1C72rrg/nmJSW7rjFkixN659w6pGt2edHqkn+P
iwBcq26X0NBHacD9tQdq0EQmVFvV1CmKzWixN6XwZJeTrrISFvzajwBeC3g5TFJpQ1OffXfi/x+d
sZ9tuxydIQHgkjdoDnKMVv/9u6PzkERMe/s0O0Q1/geiNpHAvqwqnujVWlag51bpU43UEMFRPU4q
n+nvP8Bf8AF8Alr4Fv8Ho4JPoRrz332CKXFEvRp9fLBn/C+wwYls2gy+iAzl3khiis2o2admmsQX
fROtFT3wLrqOq148evogrjGLUFX+/af6H5eFdifRIJTtdD9Vu/T7D1WRUY+/x4oPlaawJORSx6DL
a2rSUfFckLBS+QzlSnGkjXHz9vfvjpT7hx6iuhi8vaP+ogTH2vrT2xNhNlQkzh7speAolIl2adhx
Wq/M+EKShWEwxG3PfMwZ4x6FQkNXFqqKixEasXFjOQsaOCZpfZwcenWCblpGGyB3cGpMlUo3/cUH
Vtfje8+Xj/7F5S8TbTro+Z+v1+jHqWZqXnGogEdB+lnmoVOpEw1FE674Fi84mhNn7tp3PKfLfdvT
q0DRRAegnuV9iU3zF5/oZ80WkyFqIMtkmu2ayMN++gY1u9XWgboBUTSacGbnIK56WlLPHS2eLvDO
9OnJIAMM5pV5bBTDj1hziNFCsiWHXdeoMxhX9u8/mPm/PpiDocZBvYal5fzdf3e/u6PeQFdpk0Pj
xFSoMRrJYiChC8PqHLip2VUPTVJ41nGpFeB5ZtyUn8gtG+8Ha/S74Jx5oOuoVQPrXBeLnmOslnKI
iq2V8j2NwSIUEey5QKpeD9EDPNlaGdEtyUFgk4ROY/Dj66E0Laf5flhVF6Bamvk+iVQ2AsL0+f+z
dx7dkRvptv0rb705tGAiYAZvgkQ6MulNFWuCxTKCdwETAH793aCkbqn6dffteU9klopiMokEvjjf
Ofvcb3Pce1ZTu16vPZbOUHotJ6B//XZse4yfrhyccawXyNkhIQJy/OulTrduhwPGM45Oij0ltJuV
TgKfFTnXzGYF4cYfXKgnmYyn2t7A9XOV8rKWbFyf5sDl3Uoci9OJXD9Ye4J/5M3ir7NXLsn+Qx5y
7A07q1WOSjNqEGanBksOEEWvnZJ9MoEfXJetK0baBeINhquJK4QDwW+7gf8q0f9Gicat6HJb/+dK
9Gum4Ob9NfX6+xf9XYO2t+WxC7LoI/TK5/n3BZbv/AJnhBUVAjALXG6af9egA5RriTvUNIFp2iya
/65BI09zc0Dz3RibH/L0f7DB8qyfP9Y+395hQw3/QrL0+Tn16k+MwaCcrJPvLzXHranxd2o7gq31
0l0y7dCLGn9Zap9z2lbU92KOLXio7RjHk228dRrM18F2yJMerIk99ab+PcXlLc4kjoNNzeEu5FF6
7uLhGTogp0b8Tu8mVa2K9lPe4BfG9PrVHii0aSuN/jPZhvou4xoZa4Nso/DK99rsts+Q3ct3p3X5
Qx+61eA2xo9ipgGvcJpq/rFhbryc/h2hb9PG26uqZ2Kd82szL1pyIFNcP2tHJAPWJWMUt+MAVwwP
e2M8G0JyIsPTMu3p9ODM2Kki7KusE5FnO/OtpWaKTovU/1IWJb6rfph83pbGtk/WrJNL3lrwCwuX
1mJWk80+JvkiD1ZnijDui6+iWuvrRHOol/4qIony+1nlPX5GKxaRgbkAJdTRr7adL5upDy+a6IGP
A8ts7+NgNb3jvKn45jwZbwOtjXhT5vklNfsUC2peirBbp857bftsgvvoApMHAbcyd815zBgXB5ta
7q2kUO66zGFAMiRincKn8z62NCmGLgDAN5EI/wK0wnqe9dbzYRNOol9hk3eCgqmDrQGjXcKJBEmi
3dryaC9EQlKb3tg7Dpt8b+hRNx2c7jg95cSjAlQfNy1DdchHGubPtYWlnxTF9o8lqUhywq3LY6Eb
a/4cuIlNl3GWgkPf1ghLrogtghwqhHnhI6jIEer/MG1cSWoLeNZ8rBH8pmAKpSIseLVGMPo8RLa5
eDMHPmOD3cTxEdKl9ho4lfMQoKVtakw7c2g+isHHJgVdcL0O6mUTYCpg53ZCtAcOw/qxB+BNwZzI
sDIUtChc0Q7KC0B+YsQi1sy7+1FbVIKrisMkhvcVSQzYeeRzRxeR75GLuY2nTdXrh9hMzkM7cetO
mnz4zmyOq61Y+XdBry+adoP34ghoiMdJY9SUOjIJbHoXoAb+9/MHVNNfB1QbnoG8g0rP/Ne1YyT4
0B3nOeXXsvZD+/bBtBEGGglRN9u897PJpTSB7+hCBp0Pk4GUyyGMa/M3tHoOjOZVq4KJ3xES8VRo
e1qPSlni3Vw2SQ3jGyh4Exx6RwxiCjs5w7bLcikePlTRwunS5szsC95sQ6I54HS23UnilPxYS4Uf
igHe/SSGfDFeP16lX65jcioXkdU7rPW8WEm9fR+yhLZuA1XCoiiLHhmyd1Gzd0UF5e0J7jRI0Kbc
fqUMeLwDfr6Y/e2wBM01D1mgoeTj+ttg2aaD3yR8o2EyLppNcQ821qmnS+5QXs7DVFSmtRy2g8yv
67rJ+rlrbNeUZdMRkEjDr464WTStaVY10wLVFjOP64JS1iGw11MP4e4R+9d8P5G9enO40mjiaEbL
5zqtaa0MRNBeBn/cNa30F57adBKFvc3YM1ZUhO8W1Xu3runF1x/tJ/wy3TTCZWQ95ukyIGurvn1j
e9fHBy+nLWniKoYY4leHlcX+zpySTWcY+m+5gTUKyzWLEWoS5iffNaqdZysubFtpxQ/DG3DB2GTw
01Ub42htJMfSQavSiWRQ94jUWUIv74xR6KRxMn3rYJUQ564bSEMi1kxpdl+IcwLG8+x8NFMBHIxf
FSHRiztij+QbVvpOw0PfCwziCZoUrD8bIlGA5U60Z2fOnCO9qGmK/WdJHmqrrR/LibAMHUD0aoV0
wtovQbN6B0Or5QdwLOcqVkN2yiff+l5Kb331k3H2aFbO8gsyZfbD6Wb9PEq5EDSqq/2Sl/GuyYwX
pmn1ytqyjygopW2zDFhCLBZKks0iizI5CqAg69YH06+AMBI2+oGSWfAJ0GV/TYYd9WrKvUWwHI2d
t6XI++tBw7TcYYGxzuOqiptK2jKSDMScBueBgDP1rt5FJt2tclX1g2htKvZUC2DQnJeONdIw+7e4
kx8ROG24oJK2mF3hT711KTkadg+rcNLzZAbHYTMBr+h4UU916I0ea6Jxxhjf15PibrJ4YZ0Z7fho
1fVnJ9EWdKigX5PjNGbOpaUdx36JW6d51WmpnjBr36dy6jimb9Nl0hMoxXnzVHsIxpSkDf5dJ3wT
IETZ7tHqzM+JrWdINv7zSnLi0wj85tjMssEErOsm4PNBgexpUjP4Nkef5hY049ja930Pr9Gt2pTi
EjM1Wdas5W6Ju8F86NOGwnXbM/dlrqhyzx01c0KAJrwnP1abEbl5/SXG2lnuLDHK/AAddMRA35Xl
uDMo+WW53DU7fzaHZzbF/ltmB2bPo9Ax70agiWwrjPY8uVRa7djCfaF1pb3W5TjeDrb5RSu/u2n7
dRlQHefWJQUWw6dx1zxiCWk/LQE+lWXOrYfCcodfJzGrL0tA+987Tt9yeqD3I+ZUDwL3nJRFzYpB
fbaXNX5IqUWOCrdgZ+Rb82UaQFnQsRzieybv1jvGHbguUha2kywocNWPctDzpaOxah/LxX5A65ve
iE7EUVKl7n0AmJZCKJ148KbBMIUYotpb7O3FDSsjm6Lw0TQeBNbbyBMjVStVifVfuPNV21f1l2wc
xE427UsMQOeqMNUreOJpj1Imt8zIm2Un5xyy9cVYpPisdQIcEgClIpbTW8SE0vQaGnJy59BvdjN6
imyEHjiL2QNpfgtcoNe0s7jodBD8hLQC2ynuuyhpMc/y8DPYYXOpkMK+VHRznezS+gRUzguT0qWg
xm7EDopAEQFVKCOrnbgObDIrKSZbnhRBvEaJ6FwgAjzCDwF9Bwjqdus8+IlwWSCp4alRgJ1DVcNv
ZNUI0GKdUTeHiSwPQOF2TF5cs7Oua2VkSHRbg3a9yEMAIugpy4Ge47/Oy4NN43k022Xe71tzNkj3
urILlz5N76stxQFUYXk2iY1fL/gFPoFe4AblJiRHpDch5fdZHw1V8OAM0Fjbekz5V1u01061dijg
pF12S93rPdAErNupbkiZinx8yDLXjFTsnnHRowiDfH5h/x7TIFaNr+mYfs7jKt6x7fIZKOYpeYEk
3dHWOA88cXtYyW01n2YzYSEapP6B7Su/h0Hlmq1cBYF853uji7gPspNPQjUUu3aWKGMcuRm80oB9
q1eVx1YL/7UN+MGndlZPcd54hx7UZ77ncahPPr6PqCsJPfgxOOpZWRy2t74pBFOQNUvSXzdiEQ5+
k2W8npVoDsgTs3Pga+YbgKKpv/O433zPu9H91acNbZ/R007lezCU31rPY/WpoEqV22iFkRN067R0
2EKtqqE+PXf3mdG1+5wQws4f/fFGt5YdxejnW/KXABYq2DXH3+mW037rvPB8K26GusSTvgMsU93n
A5iAvpDN40hnm/tYBiwDYVUFKiRFylhQa/G1AM2WHAKgvHyATGZB3NwFJpT5iYj/fKkLGD3LCFV6
l/d+DLN30jc2DBLuvIuTEIOf6oaVUs6MJYK3BHjQ4xrrzUWXpIeuGJeL7KW87UDuIjN1nRGNjRyv
nKYcrmdksqNfZ/O9JYf+OdXVVae769Zf5whvW3dXYWX4BrjNPE5Dp64sGqqPKvFfGdT0wetVNHlK
POQThNxQTkUBaGeukvIKjy7gzCxY1yVktdDmGPbqhvZw210fR8dsv85FRYkpt7ySVlUWx6FDKojc
E/mgYlRG9W3ZYkNGQIDISCnz2ydtJsev/tA+t+NSEzRSv8WOKoOb2zme3SNZFu+xIZ/UfiSV6o/U
klOb74MO2psZOBmlJ1wLZzTZmN9zvhQUluap9xh87OwytneB0kB56vi+2RZ7WyiYAqKdbPUnmvsa
suXKT7z7xG67e55+5+G3FeGfTvL/H4X5H7RM09kymHiEXBQe4f4k8CSBJryWMNd6Somz3srlZMZ2
fl0wI1FS8O8EZUla9K+KEpUt0HBsgqQmvrUPg+afBLYynRakwb451UTOLkPK6N5zY34vjAG51m7G
b+ClhLhNJn90zkqxAFh2oKLSCstmzoL6Q0tzu1qou0pt5izDxRWgbKIXU8rWfioaBkCx1jFjW7V1
87FHDDjQ46J+silsVHtCLgC34a29DS2I8EZOenjqccL1h3UAwd3vahfl8gum7ZbiM3/mwJbEEiuI
k2wbZO4Yz5WHnUmXS/+dS6b+lcbV+skJEib64aMlFOm4fTOxQMzgFGD+bPdOk+WOZcQPK9yjHqYA
B4fjR8nUwh9UdwJbh3tULNnnfW/52IK2s/CH9eBf/9I30f4vejCGThqCfKywgvXYz6pewYQcu73Z
IGBv52UWmZwNRgsT1flff6N/EOq3b4QdiDGANYL989XlK05wHR1ypzLFdoE4UVX7oe74/Xy0DvbZ
ZghM0JihSPOU/TdC/T9+d7yNVBsRQsYe/Q81LTQI47RY5gaRubWfXa3p10XOZH7cug9nsFyhO3gc
AgxdcWz71z+6hZnzpzfZN7HoYKO0NuH9558d9jxderFqTj3WXDgCGsfwjVd0WL7ynmOzsDY/zwSA
mC7Vj+ItBU887OvEK08JTrvnjxf0X3nz38ibGG23rdU/lzdvP4y20XvRDD/bbLcv/F3iDFAk8dZu
KwFYtoLbyd8kTsvEvs+tE6CQ9D3+xk32D5M+2RnYwqRXaLPbkD5co7/bbIX8haoi/LB8GZ8NFkn/
ic1WeHz/P11vwg88bqkue0JkHtT6LRP056UYhe9tD2HevqyQupL1mPXJMsRRY5MwXPobYxA46Sqv
HMLJl1D+8QCvb5gDXQbazDr1U2tcgHOO+6UzqkNCb+fOa9b+pknqU6qc8QqaNSJJGbjXzVgbT13d
Q5avE+N6yIjYt6JynyYsFZRIBgN1oU0OHq/tGvKNFGy6PSBS/n8W6ewuq8NgijnUd0G843VzKJLJ
qcjSG5e22itAJMAhuvhBr93d3DfRtkIKRdVap65v6T0hVE9vi3tliTjCchlEadJ9H/GhRmPe9ihU
Kt8RJ1xuMOcnez0ACJ1M8jBouF3ZG3s2x1Tk4CY7yqZjtUKuG6Rp/SlYpnzftxu2pRT7clZ3qljE
nmXU8K7sAaunV+G0kq06ORW9pVZl9SHvlMDy4AfUdo3Zo0fHa1RZ1opH1IYF1Cz4R9t2ohQhv1NL
YBL5K1YqJDMoInbAmshsnX1KPAT7qiFDXY0z8nTZX2E2uUktVtus3R8DswKJHHtHssDkkeGGxqVN
WwCFYQwKiRnZscmaKbd2Ml1e5TCBDRm2H6IthmgYnTgCz53slDRc+jXHr1UfEDucq6uWY8F1Cz9k
53A6/1AhMvg2cu3qCKHXCDN2i0hf7imIg6uBAOLOL+A3ZmtsvC4O/ikcM3Lf4x8NnXGeD7ZIghAO
1XK2WdI+e1B2zjzNpsjzdMfIbckDqQpsEbMpopq7NloxHQuji7jLomIf0MLTzq247gz/jKxe7WwJ
lWDsmZYcPBupM3rMlrgyytLYF3n33PTuqz+vl9zWnLomVxyMGteOZa7p0Wur91XmX/JuEMec+zHG
Xl3vzSA3rjo7+CEwpUbDFMiIa+IZllLoai4JXyUPQZPTOJMAYMHbQR1FQpWQb6070RPatQZ5pn7e
+rJQNAELob+ejeLruoh5z1GAQT4jjCZrPKHrWlN8UXItZHXeRV7SilO6inFP0868w5zZRYWlPhv9
UDHlg6nk1DHBR1y6o+XzG2ycQBxceFeH2MlflO0mN7TUVwfH/7oVhFzNCfIMKqLxTKyFTQDkJsT8
Msseqwllp4bch6sqXY5tFqjnDTEQgSYsHlfPF1HfrzcwncqDnxeaTuvUPaz4OiIJG21fzxTiDLZh
3qMErMCQi2rPMi/djbKwo5QIfgj2yD1buHR2WeJPJwzp50FO7A0Mc4wMPMcvo3R4F/3YiWzcWzuX
iRP16OOQ37DHlbn5QpWDGQ6G5fLJ7dattcnbBeOKEXwt6qfCcJb7GLPIlYXbS4asblPs2UaR7t3W
12CTKnc3opwC7+mLAy91vHgGXDOsTheQ5+WxKdxbvG1fUYTTHZC/8swOAZyvPxmRt/J+thi16T0u
8xBh5VemLj+adSOv2mnFkeYOTwR7zqz83St/pYBDKPnoxnm3x8De7NNgZr7XpRsJyuVR/oJv1AU9
Zjj2MT/fl2M9AO/JrOOSGT8qsS6HUq3XWP9YO/Hne68+anfZ7Fd1TVGEoXa0/rbRsrW0plBXWCtl
7x3lNeTQ1ye4mfPJ22rJy4L8oPbHYWeZ/rK3YWlFqu64pBJX3Sy2dxgr+z3oNr4hYfzdVPXyKbbT
ZFd5SLGLEZp81I6z6H5MPSsxUKzxrVS5czRLy7qK/ZIDVmlPhI4ZapehgMMcVP4pRXtqSvuL6/aX
PBH5mdzyq697j/U4RPlycdzzSDj9OQimTyUg64jz4w83JQI+xdmw0wnsEmu89sSgblvfvsoaBcu4
aUps6+ggprovU5plIET6u7jrflVqNKMsEHh81rE5CjFm9FAt+R6sAniMUivi/8pnmRIHJyCOYe+k
X4KFGvNFLCfOgtb16ubjYbKX7jD4UDlmn+9Yr+szXtjsvi9YFFg8hGYjnmE0BXyeraQ8KATW0Kzk
02b2j9yhy66Xrj8nqmNsmxz4Bfh20bx5vCBauW9lMX/W8TievMX7TlEf6YGkTA+jPejjXM/GAVc8
3rFqonajnO7NxIOXwZTOC9c3bUfL8SBheFXxY5OvDdjx7EBbArtKV5QgG4xPI/jTsDPm707WMkEj
8539aVXcazK1B9rnnrj/ZlcpBt9jYnCX0z6xhVGRqPNZRR2z1ZGHBDfdgTO9s5tFax0TL/+kp0ye
V8N/Xob+ui84urdG8qtjtN5VWZfx5qRjY9O61kE2nr+3WCBc+e3GHWGNwdG2iQ9Iv02k/WV16q/0
odfDi8gGNoJcs0YX1KeZyIJod/PQ+Y1+pYG48vgodm6fl4g8bJP8u5iCBU1GIcXIzYeManXZO6fO
brIJRFYL0+TFGbHHuJTpsULwk73sG+7eBTvBVmdFWNuxfHREhQj51kxzvVLO40y9RxNLQ0OKhNBX
ZkZahuC2VqX+m37938XP8aZhgPrn4/Vdmv01eP7bF/w+Vn9AsaFdMh17MBWIZv5trCa9BlbKwre0
0aKwWf1prLZ+wU5gY8ECtM3fiKj9MVY7/i9kzUwMK5w3+XJwUP+Bc+AfylxYpVvgPkE/OcRoydD9
dapmA5RMaS2RFmezBeOar8UjvWTxlRRi2jmLhPsG9PLABLUeUNnjKx/S2hsP5vlF1sTKhJv3n2Ad
9Z8Suqz3f3on7387sv+feqzuG/Cd/f/7vz+fcHl1NqcLZBTJMcf92UYVwPiLLR2Icz6J5l2mYr7v
4KlcarntSTto8cegNZkm2gZQ57/+3rj//nLiwOkBOZWD/XYq8nz3I1345xMHSHqCdWPWneMk/lx1
MekFPWbBzVYi5EZuC5SJ8zGgClqBvetZBNmLRbrsy7zW63dv7JE123VxrhKoUPuCjsLjUNJWt1dd
4z54TFHLbsboe451NVxAMFH7YbYiXBWaPNIf92lBec1dai90XHkWtwlaBDtEQGAF4H/Xagnh/Rhd
6AxwjSaYLm8J0ZWwQUVnaeyz4ezFuieAOT4C+KvxYROuDVng+cUh6YIg3VEUTjQgE5sergwUPO95
nFdV4jnveAZ7blvfKsFu3Eg3v6pqnOm0YObaFcbqhDm+Y6L/np5oOIsZPtq0TncVdOLPde5XMjTg
L1+kzhn6wHJ9gh4OCzUzWQ7B8UjnKeQXgJvXKZYDSy33OAfwMmmuIhtMkrx73EziD2afgXDPaRx4
Kwn24gb1TBX5hC32enRUdpicmT1sxkfpcY4xioQ8Vd0S7Tkdnq2xSfdAgPR4DvygTKD01cMjTcCM
eZajqRbNXMDvhF5iH97xQIgvlC7pkT1nTOe6npXJYJJkNv1meH9DgjyCX2tuiBNzoE0VlsD4q6X8
7OWLv0+lW98XVCQdyH/aOIIp02CeGnhqJyaNnWaeq4MaQEXSg2kcV9tPvnepPR0KM2OjMU0Rn9Tg
jEpcPa72MkGXbcb8ij5GHAhy8N5Tj1L3tTLXfVC2w2nJVMNEiYEVKklu4/3lkT8zyHN6PbKQsK7B
Ss1XgW/Fr06+eZB1ykOo9GT6Q2hzurMaa5ZhVrPEwidXNNRkUXjUwXaDFmURggzhSEgqdTzl5hGf
vaf0A1E9/sarZrfh6idLwf/Ed+BRa7mLCVQmu3yOayv026H4XufY+vxtpcF2v9HfCVOxRZ+KtIKs
2AJ3MG/6LlDZO2FuNpBBjYPuru9VfLWOq3MuTSefPrtzhnS7SLt5Xw1noKc6GGfFp4IOx2+UXuXY
eoKhg6kEWzTbD6OqjT0p9+VmWqwahdX0Bms/Qo/LnhanWZYTawd8Lka8OTGaWlVJpMY0ab8QHwSC
UWwHZpyksiYFogvztIL/4lEw1BeVYgCKOmbj977BqbE5NrnUZzBVpPaKRzrKt5sh6R7aTrL6Ll9H
75YyxC7YymH5bmr72WCZA4mLV0uT4OjjzVkp+k9D5uYCNX7i1XPwWU9dA4o3azD1YJ9t3vQEfyoM
5ERQIdV8kPc9MRaWXeY8fjVzJskbVFdp3gbx5q9o7bZ5JxLG8Y9UErDM7VaOCsD7xOrK3rOx4j6K
ND3dzpm9vpbI/8DrC+2sRY9ViQ7SNeJJYC3vchyJClz5kJb4W5EEm4hRQtsCtdNYq54+18lcZlg9
DFm/j8tQcemolbWSWt3bDpFwilhbNsZBjzi+Q0HT7bHz7fKOBCn9e26TEfXvrXzG/JDgIm4aPlgZ
Y/qdkiUUQdLJLEh98ltnyv3A8JosmqtLZSiW+ppXwLVbtWSrLQ7jt6JTc45NWcZjVPfK+0KaQMMM
zoD27Mpkra2o8d3FDEmG+Ao1xtNvjWU0t6m7BFUEZrcJYwTQM8sje1/ovvnaAxSC0OyeJ7IyciPd
6oeR7rAyMgoRU/BFcEyEFowEokQNyo8Aj3WwRrO4SZ2JJQkUo/qSMs8/24S0XEbBUX6TU+1iSnCs
9NDoYp/bDUSG0pLzRWCeuI7TKb2M3qo23Z2T3dz5LdB79ndgj8rhHBAw8UIuIKCoPGcwEjkBJXxB
h9fF6irP3rmy7/0t1m3nnHK8ejnW2lm4+01uriLu4zS+JFIc5pgbfk99xqeP5+h/ddl/p8sKmpj+
NHL8Q8PUXVG+kxT/qyb72xf9ocmKX1gmcb/AHRVsGHemsz+4KR9AI9f1qL74wA/xn/5AH2zUos14
zuBis576O/bAtSQeVeRicApMnf/J4Mh++q/TEW5WxwtAkzK/2qzXfsaSKsSXenat7koMxhw5okTY
mIaDQ8TkQTIHAO2jzbQOB/aX0ISUOxovWPVyKEOujSWM/URLXo/akCw+GrQGq+cRY8i1nwRZfj+4
tfoCGNh7kyvV2ykHVpw6uU2NCYEQQtRZdWVzyR7cIpgQuPIa72ZnwDpI24Z7/tiuRzpajomGDJ6s
qd0CC9EqeJuyxfFPvpniOBi6xf086ZmY4wIdlbwYJgc+gVCXHFBF9Y59l89zaTDSzyOIh+rUKBb8
h7ZHObwQbEqH5GCUlSk2MnWWzmQBid7o2zJFTvcOPm7X9hbMMD9uOnMXwqFCf3h8Gnoyl/O+ajrT
qIB9C+lzTrTjAEtHMZLCvPXtFTANIijvZxdmC4TEbhfTsocGPE2etbPolDG/aXxNet0XaSaZqcgk
SdJSNSdWuktGtRpL6I5k3EBE2njH8EsK7KCpv3aCUpy8FeuucKeEnBUwNTv1cAfkIxUV3wnjLb0s
dkOVLDKakiYToWeLKTnaxRyrW68ajLOpa3UPtC+G9Wo40FwEFKc+rWHyGdMxka2NuMUAHTq9uYaT
VesHCzriwQ3a5d1r82KPlQcvUbGkkNJZEU9+VVxweeAn60V1Jv4+Hot66qjGqxsXR0G5KQLzzhvT
4lBV7Oqx1iV30g7onE3LOXJFUkRiYF6hIJzN1BrED6rS1ae4NoY2LOKSfnBjau/K3H0pmip5cAgj
3ut08h5Qkqc3KrzmCJBifKXadH7gemhIDDcZT8aZfl27WT5RFGnYOz2OjDrkPCPoQd5tEBTxa9rO
zmlOXePOILKD9KWM4MBS37nEeJ2PBiCGFW0Szf2VNLMEG1u6L51r1U+k2gsqhOI0IXaZd868I77r
zbuGENS5RhN1w2AA4Tsitp01A/pRl0XySuGIcx2sHns2q5X6mWQPWwi/VXGOtq3KXyEIMgjTGEaK
lVQxRegkHEKcsfKe8xxkWy2f8w5gaT5i/RDO7F22upqE5+RKQXOsxukOBoZ9bc2sGYVgAN68ng58
8F49MLHXr6qf6+MUe+1XbaefrI7yk6H0/St+0xj3Wurjlr71b1boHg8sZdOrGjHrOQE+/3kkzV1t
AG/7W94o89pYax7lXed4V7qcg4PI2x9T0MUnS4IAT2dCRUXs5U9B4Y+fTTcvPy0MWJ8cPWRyJzu/
+NRBSos0T+OTawzqaHrkYwNPD4eMAm/d5CiwPoJpTv7zrg5qeaXnPtCYPyBChHytcWdBww9XCfqM
Y4CZ3ddxPl8R82XWbJIC5KeFBTWVPkW92WD0EfvfZd/osd3pGH4978sQel6Z7hLDZJPS66vGDOqI
g7T9KjzDuRsM9ZKt6ilvDe879ruCQSag5CgkZu6R7KPD6JnOOXFdQVG4mANTFifsOPKy5ByI3rtZ
tOr4aIz901r6JR50s/nmjpA0W70292iE61ea7OmctWiBwxyr2+sEHfMlSYXcuR3kcnYwMKLXNUhu
2AOOb4M0orohzA25BfxowXKH+R2nW9Ym74iN2Y9SMyr3U3exx1jvpavnKJ1G5zPFVtnJMTzbD2et
l4s9t34kCpfz24CwzicOiNQt5mrjoJiuSFyafvOA65KldDtYBIW2sPrUZ+znQYiYSIqVzueTnQ7z
Y6O3OE2RaOdpGmL/a6Er7KpUfeI697f0fRynwIyNGNcVGdf3EcoMdmEw/sw5GwtnNKGJJFYdA3Lx
0z60tSB2vdnisYz2tx5B3yVMRofgvUM0lbxveqayg2xuu8DH2aq6bnGF0Y6gZbMbzPlbxzPv0ULO
piMwJpSQ9sQv87ineKPF39mJ+WIMW+WD3/rfRKPkr40hvoNdtS+WN/V4nToO7WWAtouVlQ+5Udxo
9ik3kKiLS2o2jIL5+i01bcrpTUY47BUvjame5o7Us2+pdMfCiDMrS5BDhrSELW8NHjpLNXvDhZjN
8kb3p8RIb8tiSg5IyTGiubJA6Un2Q0RFD3zev+XsbB47m2q/lEHxOfEgnlqpainDZgeiVCzLG9lg
QJX0+t40Ne3hhp5BZbqVOxwFGfwHrtwqorhW32cEur53MyuR0IZozNiDEy1xY3HFK1wiW7ewhSRb
RSR9Wd1XsSEPpU0vsVUP2J1RkqKlN7OLoTBIYt1qjsM4j5HAw/pmK5VGpU8n9+QVX4be+pp3WFZW
Ho+XSVfJGLq9Tu+FTzN43TdFRD6LmiRn7n+1nKnYj9YyPuWmK/cfVIgmQfmg6s2PHGXETyiv/ebU
Ho46YAW39Jm6m5Lcsfb5GuD/FTbrUEOlxlkT2s8E+epaf1WmKL9gUB4PCX0H3yvfs/bLavJ79f0v
qV/+UEXWnx3OJcAPiiICMOHx6PaCcJGsGadsMM8mWY8IYpN9gIdiXdbWyL8FuS+5d1JMTqWJQQlF
XD7kQ+mQgM+zQzvk3XlkINmPWPJOENb7gzczeYE0lUeqg6frrGqA+ZQzq8PBMozIJBe+m1u8oo7X
198GqbMdr/05GxNrNy6pewLA1u0yebMK3Z5qAeDbbAP70FjyW2e2D+PoMzqw1uO0uB65RRvh4hif
rUwsYZqi3xN2YMIoTXdfmM2t16oHz+yPQd8dV/a8LBcKutbT+tE3BhpRKMI8UFDqh1RX2KGb1diY
0vSqB718oGHuxqkM4zGgEfpYumNwEjT2YsarHii2uCf2nR6GyiQdQZJi55YLDT8jtOGsKI/kI5po
WNua9vGGfUM6Wsd6wh6YGJ5zZwxwF7i3e8+DsLPTmscgJ6T1o4tdqlOWvAozEvkhsCTJg6xIeR44
44PGIfEtqxbS5AaXX9MbJ5d+1QfXmHwexmsKjndEkQva8Txj9TrlWAXCJFv9q2pYHspMfhGx9/Lf
s9T/qhJLEGP6l2cp9YP55c8ESlyG25f8fpKiCfIX8p0B2WCCcrhIUJr/OEnZAueL82EWCzjRuxhP
/nC3uL/YLh4F4mZ/q8r6w92CQo/EQeQOZdjb+JT/yWkK6f6vpyksK47kUGZLYmUg6+yfMtdFP66F
HoPsPi8QaQLCM+b/sHdm23EjWZb9lf4B5DLMQD+6w0eSzlEc9IJFUiJmwDCb4etrQxHRrYqu6sp8
z7dcoZREkQ7DtXPP2Ye1a5cU3m0YSwdYvtfipmtKUbMoj0NWDQzcmbct4qmZ1QVrAWc49ivibkNW
DPYDJ9FaA+uyBS7E1oP+s5FTXRzRPsR8N5St+FEJOSNvcjhkxAXNNOAEx/MK2KNhSxVMhyZ0aNBJ
2/xc5bX5ZSdc6zY83sGHYRHhUl6QnP3CaTdNk5DrG/zygdL3+ABAfYnssBS3MI7QBNlqjSMXnI4T
ZiklvVGL7RjffGF8BFQGRxXEBZ66kNxMOmWnDPQseCQnO/k8ZN/nVapCGsdM0tVe+tD5QZFGfaP0
3TQucRhJa666nS35F6OILwOqWFvKKBRY31vuiMmUkaVIZu8jm6fhW8+ePL+4REYiYHj+bcaJDgsn
U+zdSw9oyeCnKf0JoQoJ9giQVI++Owx1xE9Cv8aa48BgZhs3WsXJI7alONzgZ+DOpfnyT/j+06tl
VhA1EK7dg+cocUpoIdiFoHep8wF6Ye59cBYI7JktX3THdJkkbc5E4U/V2ehreIGGG8iRbekS3AbF
7I8sRB0+EvmSIeT4Ku2XKEfa6SKv9PUbQnzr3fEvscTWQmBVUVimKsrEaCMRMhJVRp5++R2GizTJ
imOfOeOeqIAXuWstESq5f98uKP2bGiREZOmBOc3DrKQbFtOias17KsznXT1V3jl2fNbrXed6P2YZ
khLnobmgEizYmmDFpqxFNZLzvq0NeU0nJtgZUY/Cl2ercOZAcvyCJGTTCv2DhTALKHnnFGvYbKkz
09kIm9QOXYNEKJDQq55wQlzg49mgqQYBfcemYztRxRrVvgfuzc9qMSf/sZI1LYi+oUL5XHaT37J1
79fma4bCTSdWah+WoLW3yKKmg/dRjEPXk0n6o2p9TcFo6WOFLgNdGdeTS5B9tcYyAhpBdj3B67/y
4np+t4h0MNj2M04yzNb6pBJNxyXGhbrDB+OJ9EheyWpACDklqH2TYXQ7L4kxHEVX+fs6ybK7TGmG
7LSd1hrXLq54smkyWamJOhsiKqfHeStjsADXy5KNbWQZjr1tKF+0IzlV6yaoNrplk3NnSe68GmbW
tuMl5t+opUJ+6F1x6CANYRwjosInzoFNn/sM56XhZxcDM8JEuXNccsuh5AbyRhnMr1bWM3th90jO
jugfFkUw8Z4VzKexhDXPlOE11Hi7uXYvQ0PN7h69vRr2yUizi4obMrIBoJ2nhekMG0Msu/rAf1wT
ekY9DEdOIv3otKFqTpaL3WCL3G95B0JF1nz6xduzG9l9zYbz7Vc21M7cfnmcCovWhpleTkqyYq2i
QBpon30vbpY4t+4dsAncVJ0wr3Z5wmnmjqLeFLrND4uyg3NOwrOIgtnAqKzMNfUH42CJ+JuKQxDE
/a40k5hRnJ9Vs0+4fUUWga17Q2ox7e0xLSMKAKyrxqvDnR3kBHKNbKXkOSkOVrk4WQRWzOLnXDhJ
/tG1fv6ei8H4Znfl9MZsO3Us4ByHZ81RU0TPC1U7JrfTE9Y9uImgcvqdxz2iu+L/QOLJNFZ+GLth
egE2XgDj4+wAiYJ/ramQk3iddMkGCj9ZurXwPiXcU7tkbXfAg2e03RpaHqo5GTYNARSH4V2OAWGA
uHwydWI/w3F8AeLhAdf9BesLiZUdvWD27z2XNVsygGEarLQ9+SF7NqCGEL1Kw42TbaOANdRx71zK
yhon0n9+Zd6QQ2xuIOp4+SFoG/u1HdQrcEK6UwZqVMzIzBBdttMkhn4zTrkab2hjNy+LNvuHKm+o
Yml4fyX3tL7GHW4kp9SLPla2P/hQy7jdJfEZHtYcXEgNm/t/z1P/zDxlQ3VBGf7vTQ1PP9V7//s4
9efv+EuYtv/hihB+rhkCP/gDjP/XOCVoxoK464OittZ2Tyatv4RpZrDQ45dI9Tt4x0NoHH+OU5b7
D3g3rNxh+f5pMf5XXA14If7zPGUiYeHKD9EkOb9s/i5+/bcYBk+gMbVNI04zU8fLZJBXo/rmMyAg
dlmgfuxSA2+rqpriwZ+Dm76X7BinvH2UDdZf0fXnkZf5pg3W5pBmNE46tr34MDV5ekeVj/E++j6j
kNeI9ugEMVYnLAxJf1cD7rLvHScrrApFqTT902J2gXWhfFA033ogamNOVd/S2Aesq9QfI9fByNsK
HkyFPSuchgrYQExzJ6SqRPhEeuaua7+VAZQ/GC3ke8wzpjzP+qUYDzs/FU6/T0vHkufBobyCp4gs
JUVcCjIXcMsqp3HKbzQKFDkvJsSlMRumHAeMwyGwfO2eqKx2BS1SOvPzJ2p3DJ5v0y+mNkoB1ryT
nwh+JF5OihzIKxyd3Ur6nyBNAdkSlOaRQIgGvoT+UKjGuiK3sKxOzZAampxo+Xbmae73E+vvabc0
bMqjoMmPVUImQtXZUG3K2h6OuaECTIeB+6Yn2pgDG4BQ1mePCXthflhjfkNasjnig33OG1TinI3A
xqxCvNVzwqK9Jab1kqkM2KhmjPQDddM43VWKWPvSJ1WNjbK/s8myMeVMIS63xPuE+01KaZzfwLv1
QCrDbaHsU6KKZzVh89Z4CM9B4Hwk2Ph2dlyMjzQmwCRfjOpAtOgZwGmzsmnmQ+9TTR5Y9YGlycO0
ZM9eaX0Bvx6ulr6h36hILlQl+Qjzw1tT9edqaupjMbBLZo6JeHFbm16jU0opqNBsl7s0oaWzsIpn
SSY+IsjV7AjM/+Ti7FG5ucR3c4gqzjvGoLwKz0iPC7og3nZwJge+5ELtVc6AN01I5gmC2NaZWSbG
Y9ndBMNs7XzXESd2Htm+Vou7GY2EFrd1uEdimw4VI9BHkLbIn53WO9m6xkMiiU7XefKTJX9z6xrD
oztk6pEpqDwIyca3zmR2rIuVI53BYGfRDiyqdqlLJapz4lxI9x34sX1SuWRaUyM8TN78s3EB3RGV
oqScs2NTJCP4gFhlHw0yx3ZyiYCDkWKOEFVPtRL5Vhx4MOcWA3O1mModch7QAEs9mW4tNl1ZPIM1
PuFMhoLdS+bAwXhxdSw2dqHyc9q6rOKlk33ZaIbfx8Xf5uaAiZj+K9phWpzaoxbFNf7i8crzBp54
TIYtO67F+GrYTCEDwx53cQcHAttAPi0aGqwyjlYhxgcNJNR/LJ1C3hGaqOpNG3fZ6gT19naTBbuY
Gr1+a5ZjTk8MrTkDtLXkQJLVOtdj0vGitwf+Nj5YCN4xBd1j2UIgiKfpLp8Lk3cpH4sknBguA6X0
j1ZyqO4S39FnNuv10RpmPaNG8tFSazGnUNuWr3b1Bc3DlwkSOdsk1HruPTWO6ZfO+5BnbQ5bnCqi
lfPFCtz+raetarI2KVCRvTlV4iqtw+rAeksythrkgS3GrrZgctO5dwDjyymhaIxtRIKqYnM7suUC
LFq29g5NujzQXg8oN1heFfixZz+T6lLmxjuP1Iu1ZGJTl0VDbGA4D0brXHJhFRGAkZxi1exH3Add
lFkye666HFkU71V2Y3WasHGFRyRaSCrctVX8DXm7QJ4hLXUtnbI5myEbSd+ersnQywfHDo3HAhGd
Id7NoqQI27Vti+LoMUl5jNlEWLsYLO5eU55w43HVI5Mw9ExFw8BUnTY7/hx8VIbQh259alk1eIAu
4ebE0DN2hMGw5GN+ZQGY7TLdA11gvN3Eq17UBgu4wtir79m/v4FNcY/OVIWfndXf+xQLzZu+wF5l
B8Or90uVEpS0WvZ0YjQNWAuaNm4gUw5fMfPkLjcG40rjL4IMig5Wi4X4S6MwXSTBKqeZnAeBvmRI
lLeLIaYbnYXcsfVIF0yNIKb6nEfLt8Ydqhipg9BRGzFbwZa6q3Ejze6gjaTjDB5uwpFTa7HxcLMP
5pMIz/LEuOsSJeAmn5jzwxhgJC9gt+yaVUTk3xYeW6UOhm4h4ooJeoOpBHaykCzqKkgKPDzbcRUp
qbqCr/lLuaSion9i+UtyIyh01JLFifqhPYUGIefOkF+q9b9Vmd/slhD1VfQSn7wmIW04Dj71WmFG
Jhx8Nor2x9rCWg7xyOaKOO0yA4ErLb++tZhMWFPwg62FzvfzKsYuqyxrrAJtK7HPsfglo5wA2+Tq
oGlzxMNrgde4dVvv+7IKvfUq+abF8N1qiuLKlSSqTbBLG9A/mt1Bbl7zGegP3LHT7VwUX7hEwr2S
y3dycFiLfmnL3KLim7gBNIhzj6Mf8PQHCaCZxMTQ3cWFFW/TVZ4m1j3xcieRwqyPRcX9Ij7+0xmy
cl+6DAyTcl4qnEvbqujb5zLgj1o6B4sz8vlXNzoWUeecpSiHKEIPWjnlAfl9aDXyJH6p6MXAtwFx
faxiEXGYEnjBkvwSAIDbOoP9SL6d7WoCrDNXAee6l5UfeOgsfH5o+COxqH0++XqLwlrv+3ypri3T
IsujF2c72fqjT2O9mXAkbGYAQpsZ3i7xlDZ47oW13BU2yglv0zUnk/qjovO3kHz5E5Ucbzz2xXAz
zHXw1Pouv5cI/yPuyJNHv8HWKMOE638537lDnL+R1Hh0PW8mHZ1cHBwGRxvSFTbwNJdYqWO+0WmW
Ot9Ct6CciEsTW6Jg5yyxZxFZ8iE5kAZnLbZuaDJvwn2ZNNYPt1a1G2l+zutyo7mdzIV7/KL8o6/c
4Ptc9OIN89VnLuPhdhG2ke+mKZ2OuRzsW7fypp255KrmZJXk/ckuQRqZQsQl1+UTIaqHNgjdBxCf
vdhyahqMGJa0ti4hnK++swNa6focNsDiCzQhjQvvIKXp8sjUON2OXR8uAKswz0Zc7h5lpld0k7gO
ApG/9uT2PuqkPZczFNUoh8O1bRP7BwZ297H2MuuTZSa2gAVNtIDqOqqT/LU5zIo0HyPlavUp1h2j
/LVtXPeO8bqBnFKjPED+vcOZcRXjxfKjideBOprGkvNx9ib/R5z41Ta1ev82HNzshUiZc2OOmRux
ji93LrIXeGa54NqDXrBrBrt56Gyny7aab8WFGgM42CJuWJIPACCipQuID5FiZ2+7bnBhWOf7eN3s
YpG2dpKv6zB0nnEgQx1Xh5Z80AunWfHCK258LWndfqTiJT6K3M9Owp2ZeOPWO7f1hPCYGX2M6d6b
y+fEItd0NRka9+OSwskmQNiAycCZJbMyPIOOmmjtUWaxUU4tI8wT1G0LluEDcsmLCJbxhyvn6Rj0
TXjVQH66dZK0+9bYLiAyvwcTFdmtFxXVSt1iulqeIWBUpPlddsWsxTlht9yTxjBaQmmTniulnnZZ
zvNwRYES+eJgdQ3McbB4rwmg+yWaAsWbNRidkAexw3cAnBHHrlM4Hm2LRfo2+TM5N0jMjyU4OHoT
Kd64KWuVvcWVW+9BEFermqbKE/4CEeE1TYKNQ6lFgB8M84SIVXxPkRcxh4rjtavCRxzLa5S3HT/q
1YZhpH6+94Yluep+GTV+eTaGaqqezJStuC186wDgqLjOV5uHrugXpeik3EpjKUFEddLdz6s9pHTc
rovcJa4oYMwK2kpMOuLrhUp2K6+Po6+SO9ghsX4I/LxrblVCbUQU4jxvvQLx1LMYFkDVhOCtNuMf
pWaMm9nacVb47ew8wl/+1X+GZhX4XX/Mw7QKKdlY29JK5UDT6ikRw7ZTd5Hdp5yjKmCNTgTPPg6p
575Qe1CN0TIn1A90Bc/iB/nsOBLUUCbX2TRlMEe06PId1t4ZpXGc5LaAL87pM3QNLBlDHkds0Q+q
hY5e4V89LC4S+DRoEntzJ08dn8loHOzsmvB+to2t0f+q0JA+RV04C+ZQ7MQHVcmnvgjj7M00HWRi
XKsgtGEuBT3Qq8hDXv0JZj45eiPiOnG+1Ni2VM0+L/ksdpnH6bwLqQnZ9zR8vgsG66uZGtVNyf24
8aU4NPyx54XCl3tJvPs1VU71MIOBOi8ym7cWwm3kpiZuaTOt7F1S4HtoBBZ50a7O0QKJskPGvDhO
SzUuX+O3nilyNygVwiQ0cxAU5jqc455QVjfsxtI/GbKeooaL+8OQZOG+K4T17iKKHUHcy01c4Gko
1ximnzXpIUvgKHUNvTh2Vnn8ePt0/gAKMh1wONzaKg1/sCq5nfhKMHoJCy+spY8tFHNGqTG5hksR
qA212/OOz027B53i7lpNjADo7hqAzLN0N8cV7RElr/GY+OP3npl+s1Lyj0ZG4M8ASAz7xiP/SCii
p3jP0GxKbXvfxA776NA3bgd70Q9yTokuFeWNAqyL27K2OyZwo9yVOk1/Suk5N3GcZRy0bQIKGe95
0XPwj6A+NGSBLYZ8tvLFMPHSmfU9iazwMqkEt2gNDLvwMncHxJoDs2+acybMuyDAg9r3vWpAOOHh
8OschwcZNwa7NrgU6ISQTOF7m2XsbPIytN8wPfkbDPGgIKosrd4M2b/hxKG5mJJZx1UklBs5/RCK
F2uQieWkKT3i+zfi75rcYdwomnzwctmoD35CPGIp36FlpruJn9bGqtUrBSxXaRJEemnxhJevfT6t
n7dRNLtxoCZoo2x757Eb25RZGJ/zDEpkge0K+IrwwD9pE/B7rfJy1+FGGZFL22sMEzWflt4/mKLw
qYuhr7RMkuIO/UGIaHTw9u0mIiKXfmDezgUVze0q/6iglycILuUO6/JyTPJA/Jxrrmj5kE9HGgnH
aDZaUE4D+apCdp9DqoazX+FcFqQkzuhaUZpqeQqk1/ICNooznv2Jvu00oU2i/eC+xiim6ww37pJX
p3qUU7FNpl6/4GYh3zDNNzYs5GdGqSfYOO3WJzN5lXo2ZetqYXBsUpIhS4t1cDS6qJ7G76HZ3sym
tjewn55rgyOPXIyzlx41KbNrBy9o0tWGpgdWVSKYqAqO3aelAaLkLoV1Vev0OjNqoCB+T5g7few8
dnqcpPtZMx3VicTd31hvFOCWJ3uqnR89tphIJB1bB6N6VgSZvqSsjIWoX4CCjOrB8K3kyALGqx4C
PSBHN0luRoMM4u+TGAuQ5tPUIVDo+aHFWASzDQARstMwz3u3d3TG8F+Z3HEULobRDh+IC9EQJ22X
TuUcYxkkmy4dDJ6EaueJgvg8cJ95ych56CSO+FFJ/6bIXXlLkBCRwCxoK7KWgvw5hRAlPQFBafa7
UaTyYplecOJ/8EtFHXxZifXg5A2HB4UFZ5JExVm7vFwJhnzGhaRuvjAK0NveiPvRh83rluq8ZD6F
EcJ87ngl4dTGVzhaqxYo62SrQ8LbvulN6zPBlLfu/yyXSTjpLY4ET3XTfGS7c/Sn9jt51zMrVDpu
MylORWLcxGHPrFO67Q6Xzlma+GmBLPs7v/DKs3SR/7BOQG9h1MeKoqxt7LTXXTLdU2/1Q1QZn/hY
uzsIePetgx0CYcY/1Q4eM98Y0gN3FwTEpTJuZ8t5YdMG/S42yL3C3NsmpV0fUiETIP+VeVSAq6PO
HfsTlaEC5QLcnihoEpjj8H40YJ7kMX6StNHfi8REORu0vadGnGKDwf6IQYY+zoG7YsEwrG1xlc4/
3d6fHjn78H54lJf6oh3PXYsYxUYUWJlBr1NHnDKys8zadaIojpCcbpyhZBG32M4YWdkcjmA6zcrf
5CItzuRUtma4NBRXaPnem03zBjvCJmhuLMsnpphYbU1dGO8Nq8xbX5TGMeeF12GJ9BUtAnl3zfra
2tJPmacREZNzZ7DxtiutP5izeLQS8vVQB4LbZrZj9hzp+Glk3lfS4ZPchFSQkrIPwvtFOTC+Mn+G
IpeJ+Vug3PHOAqS2XDoVNDSu+VVzQAWt8MANdBTjvvP2ZkNoCeBzplhhZyRNskVLvIpWyn0hNi5m
1rnT1uVlcMzi6Ukn7jcmBPexjRN2Va0ejjwHeud1vcnlKnieA8KjZLCsx4R6pG2f2reB2cfvlaKE
iYKLYIs/wsqikku6cTWzPrKvKbXuN+0wpVfMEIPaE65utl2eeSN9Mpw/G28QMj8k8axWkYiN4Yrd
Y6apPHNTc7lhvJshYUKrbbrnTjrtVdsGAU6+BjIIHjw0Pk231VZzLryxQQzty5y54olFsulFQTsu
L2NBowmPcYxohEBNA04N0cMeJUn31e5IufyMR6utM5xSUlKXhMBDoGhMmJg0MDvTGmiL7IZ1EuKU
eaN2wf/udGnAoz3mw1EG+BZIFrcMrQHwVbjB4NwIAKpHd5QD4pMoJAUDWgT8JAx4m1ZPIUWKcTKq
kzhREZqaftDFpApaH6pst9CLQjVSz8VbWbyiGUErGU22/JoZr3esCO61wVi/sKI7y8KDpCdHYsvA
su5VMlkvec4ETraGA3vpXPOubxsW3GU7BQ+92/E+5Sxr7krcyi8GrLezjQsDHiKdfjedNoaXQhri
AjRDHywZmCGX196+7+G3PIRGzPWlM+PwyjBS6wOefHEe+mB6tCwbMVRZI09pU3Osbio3wIUVAMmL
2LayjPNnhzfWSEM69N8uTPILCv9qfQg7u7zKTQvy3uDNLj/pCtrh0CU5pXP93ZL0BIGovbbwYTTq
SSx+coYSWGzrMtVfJTu/t9jsGdQWj2YnlI7ukoZhlmySPGtfRs8FOGfw1k0ah5cZH6mIy04GubLP
D9KYsaYgjV51sfJP0yyGHTCY4lqCyuyZ7E1x3dAo/I2c3UCUSFGPkBqzs/U6CCo2Rt17WbTyQg1W
cKzIEuz6aZGHuce4b8uCT4nRzcNNUFb2K+otXUMErp4E891117TzfhyY/pEzfVQag96wNJ+2YGjZ
wrLL2Cayr27GIfw0JpOSE7PCfZy6Q2ToxbwJJx4NknfpLmvtEwVTwR2pCXWatTudPcNf5g3ecDzr
3DpGJsYtenMH8i0cbzAQFteBF37UgTJ3U6zxbgb6PdEVm18H+00c5MiKZlyhlXX6Gd88RFlsPDtp
sWU2+KAf0glezNRp60SfHJpNU9Taogt2iVJbmZFnCn8zuA2zrFi6t6x09JarwnLEkuKRKDT78Q7k
MTqwSU1eVLvWVD4oN80wVfCyyV3AvehZU3Ft+G00u6xv0FhBNeom3ZtFsGzgvl7cYuG/C3h7ttK3
M4UBFMAWz2FvgTnlsHaNepdB64lQSt7DGrMKwZEsmuc0iegCE1GNBW9vmYVznJ3qwJ79YQmIk1GS
7QLSIFuQJMstPmVguXn7AmwuvwOXfIwNi414OxwmMpvfDcUaxMK+aAsCn2JhQlZ0tx0kMbKNCsb3
Kszb+3ls78lKlXojGvh4G2C29GiVxi2QOb2NhZWeWjbm185k/HAMf7z5ZfvoOP83GWswhJ7QeR1m
d6QJHnKolOrUle2/I1X/VBafrbXJOvm/X1s/NiOdsv8v6urP3/jX9po9tEP9hRtQ9uySxPnNDLii
rjwOfoewFbsm97dMPjwr9sxhYP+fpuo/l9eO9Q8H4h8N6ny2PWHym/6F5bW14gV+I12xWOePsAQ9
2R5yD0CutbTit901Ex7887g1rgheTvcszqrd4nTuqSqXYufLsY9oVrQe7NIjdNiQ8DYnHZ5ohk5Z
aTTzk8a4hUMGy4jZDgHcKcFFCyZUvaVXLudFXac7ylnY5tlHh1sl7pk18e1QeDcWd4yG0GHnBOcz
A9TG9HK1xfQREiVA4uYKzIyPNG89DjVvaimtdTeQVBfWRf0THj56s/zBiTSBqR/CwCQX2N/weXzZ
cmiJvIz3OtTDQ9547qGdXafe2PlYPWSkZM9c7tsr7RMj49GsigMWXq4HvCev9ez5pypReHzyZTg7
XRzuhx4wd140ixclfDvBMxuWgpCpY4RCJZG7VWunGy1qfVxEJ3aE62MyGa17LbrgiPnoQYr10juE
5k1VcGrFqopyRcglCXC9FGmhSaME8Z4JCHR9yJIhqM1u0ybFvMnIYxEI6bb8sKqrZXCKve8aPkZJ
UiaA8Wj5dny5V8An0c1qYOhbt0eWA/P+2Lo1p6VOn0OiON/myvVOyvGnt9pskIkIQ0eCjHJ8kRzc
sJWbNOvCbWukpria6theHuuOvMC4y+YmMD6LUpn+siHlz8VsRL/CM1c3/bIVbuMQ96eCceCQz+m9
sevgEiZ024FOaW21YYPWzoeKifho+a46+FVd1yTpHf9WVeTkDbRk9MTMqNJhEyy9PW2QZlyG5k6w
M1VIdFgZjGIDYQrsKCmi4mJoxF0jMiqloLThs1q67qb5E01S/EEq4Q/quVfLPygmflwPK9Nk5Zt0
i1xZJ2EP7hv0STc0XT7fk8uvDnX7q5icNNM0zXvIBQJevLPIbsA0rsm+f5vF2ItHAwIn9BQjzMsq
hG0FcMzaCzcIFATSghCxUDdzRt9MuwdKU4+sYoX5glim7mdyFhV95TVVd0Dj2JAVBsMftzjivMbY
w3jP9GQ8p4WbFRjFfHYFg1epm4ISEPgBYfvDXZIWexlhvgcmH7rFbd9tJctlmT7HYFOri5Fry9xW
GMxul2n2pj2evDnejvgfa4S6uj6zQUqPTQ3+i5CWnWyhILH3iFOgTsQK1EuBFE1gqPXs723qWFGZ
VMltm+r21mtZMNM3LbdeiqB64AvAJyd6d1fBT6AEpCRNrrFben1XP2P1Y63jtyayIm57CNdmaHYn
K8/jUxpQthhI38BR1w/oQMmA1EqrJgR7YXIFHyZ4WZvctQe9MafU2qWiHx7Gya/vyCgnB791NimQ
29swn5KnuJTqCsC45TKHJ8vbv31c/4yPy/K9/3+1zUPa/Pj5v059+V7/+N3O9edv/POF6Jv/AIyM
+AGHhhLzcCXR/Gnn4peCkJ0o6h86to9p7C9vvPUPfgfYU483Kewa6/8mjR3+OMcVv2g3/Od/4V1o
i7+9C1eGa2CD1OVr4Ouy/17t1XbJyL4hbI4GLnW8j2lD/I/MDJ2aIXWElvs6V9N0UxoS4WGUr2Xi
rsFUgAvNWBKCXdKCFbNTkRapamBl4tmltYOEV9nm+wZbYbQQPT519CpuHW34e1qaZi5E/kWWEzs/
Zd5ha+jeQ7u6YUF0Yxsz9b6QcgaaxeDBADkpJwyWRJW/RjFmF+BjQDh8CSGybtqNMBiClQs+BM30
qgnFnWf2sNu6+X31U27cArSVo9eTLvvqSza1FY7dnd8EF99W+C18FmVJ/RUWNdLf9BAzfW+4D+7p
A74Z9XLnsK8CtUWCNzfolM3etcRH07TLp0vmppzMz8b3XlvdU7CBBairUvslbhEUOpa5s+BEa/p4
QfQOLuZgvxZT+e4LMJYimR8EDO71OzBU4xrrK79yubY5Q3rc26UmfVvNdIuunK9pnp4Se35YI+Fb
nC4JU2/4iWs7PJipc6RH96oYLfzdayW7Mfd8Y4QAkJCdrbU9VxXqySPMN0vnNbWLMySJ967N3+k6
vPipzY3Ac/qdwz+I6ykWHH3ncGjuMcrs25ArLfS7M8hBKlVAQgDKIqNpNXyjrLSLWbV2A84FwRWs
CHEdGBNEWjalu8RYv5dp9U5KbN6QluI9Bs9yu/5duIM0do7ljkvi3WDNhzFdrswA3qExiSvpN8YW
gsmXXfJ/c83spijUlcUP5xg0xBTQrlvoYfp5iQcSWYNXAnizjajo+YsmwNkRfovlunPzMxHf585p
Y0Kl6qkSbqR0zVYh7QZaObP3eiLoWFrqM2iWq8lKsm2e4iYqWv81U+KDt/htOGe0BYMI19ZwXFwa
mFs1PS2te6SsBThmZx8TcGRkFgIojwPDFeygK0q82W/M/DyBUNnn0OeToJaBqLVV2XR+i+c6MT9D
G3UFfD4xfkjkZBif2m58clT5VeHq3wqvGSgiVE92bKabIhskyb6GziLPADBhZiQh1++7WXskpJ3X
pq1ZEzruRbqOT5qL38e/k2g8XLzZ9l4zv9NHT/FxNEx1QYiR3/PYCLc+xSkRgb3p3qbsPipVgpzU
EmfVIHOOra+ncwvk+tRXyLtqMoxbeJDlDm5adUsEQe9FWk5ncizIlEZpfw5m/11PnXdtBnQE8qlp
1oIoaqFkHtEmY0d+sczvsd8gXJOLB0yUO239zMroGZeXx/rP6cMMADsRmDS+OHXxvbP1hHOwhI7p
aQbiLJKDhsTtqNSMOs8j2JnRSH4OGlqrPL+9lEZ6VzeMlPjdnxuDrGUPjw9/kfuuat191rU18lTm
6a70gNnistrIVTOs1vUjzov4zhzQycnur/R16xNLp6SjsSKCMRH3UZaJ8YmBgq8C9vXCx5DKFkCx
lhPcAs0eD4oOlw31TK++4V1Gq51P8dR9UdFy5XjF+bdb2H/B8fpbuolTPLTQULlY/SJP/L11MMs9
Z8S7RoScMBIY1XZYoxWXzG0x8Zve/0Du4s3z+/3p198W8kKz8S9yYfT+lqVipTfWnvZrcrBUStQm
qxl6BDYegdD/4W/iovj3v2llhGExAPBGSOxvf9OMimznsaQUYyjeQe4Um/U4zs0Z2iwwGyKuSIp/
eNY/1f9Ofjb/xffyP3OQ1/45UCABL3CAbTii/PV7/dvtMLHrMA2YW496cNP/YO/MluNGri36K/cH
0JGJGa81D2SRVaIoSi8ISpQwz2Pi6+9CqdtXomTq+t12hN0hkY0qDImT5+y9NsKW/qFgRL3UDLoj
mpUu5++bphA4G1a3ty+j8QsRbT62B7/ecST70tdgdSjeA6R/N981GTOhGLP0PYI2doGNOLLHS3bC
G78MzQjPauj7Q8y0CywTekmSgb6EuHCCfDp2AWGXkHl2npfRlu5qRuXDcbBZvmGX0FnGcFQV8S2J
IaTI9xdCEB6FFZKMOJL1hsdrORaFt7WIRPkYIN2ij8vy8PY3/c0tZKAc1y324MLSX9vxdCaQWaGb
kKH1ZmMW4p4gjvtsYgL9h+P87oya0phLKwYTbEJ+vpreIDHAufO9yph534zjvcJeuxa0Ihc5zpMV
EqjblqbimTyNe7Zj2RnqZgSfLfhW9azLc6kSJxQQUh+PAUoWwjy7B82zT0bdb0OX5d4qI/j+QUiq
w6jjzrB0tc0CvSRTVkXHDrH7JU/Gx7Hmtd/pkXkAeJ3B52yLIwHy3/wIbVaepFxFRhnbUYtRIE6P
ZDZtprbh5U0bgVDYHXn2TJEIVkL5OR6ht6YMIKd7RwEUg1JE+IurfaoteMMOWXt/OJG/WWEg3iD4
l/gHdByUP5/HiQ5hZSKZ3ZGVcS0nRlY2q9TthTYYu7cvGmidX556iy4RV8txPKIefj5WraOSp1Oa
kxLeX8wmOuAi+MOCeX2Sfoww4Cl34B2aUHywUeivuYxRSL5VKkS+K+ggb5qIWZ/pT1/mlR7MqULs
5B8S3dwhUDoxkQvXTp4ewI58aOL4swu8Bslij3wzjY1dH/MSDz1Wp1Jlt1IG3ybS19aOjw8wNejz
sokbmNRMzU0a2cxLy/duyx8jIiG/UEVqmdI5X0iJZrPyqnKj1zSGDK/St91I3KLQo28WDA2AjMkt
E5JDYgVqCUKLAhWRx2jJcpnnmCsxAV2KnF44zd7jH67Jb55YrgUJroJ12DRf527ketmOhcrynUzZ
KPRhFi2jtqOCJzv9FhUSfifKLSjh7ol+S0lLqxYLdMN3mNweXeyFABRyLJE+HfmWUOhVF4qnIS6N
FSGegEd6++R3DiRm32JwoceAN1iJSvJzV5D/HoU+fEFysIic6B2huVRVFV+41sZtEopHRSG2KP2w
3BrpALJyuASWPcMEuT/Ncpbu2z0OAc2MV5mfeltGxo9eWfffGa7/9tXxm4eEd8b8H2lgsX+N0xwC
dHHt0Oe7gbBzShyGwQMfxxTdwi+DP1wR+UtCBPewy1uYZQ07jvvLM1mZhjJ0s8t3KJzztSTIb+X6
8cHnTeVJrg8TG7woig1Sr7NM0Th7ioL0ltytCV6ZbzOj8solOLUK5yx9mWiGq+TK/dwk8gYb/l3q
wQMnASlGfMIMwyibL3hdLmOqjpkzv4y5zQIjeUZET5WKOD2exC35lDT5Cn1JubomOsjdtFzS6/YS
/6vBHIwf9OqE6QwDkxgx36b0u3aRMvzdj+54f90E+fkIELhNCjT7w0PUspF08S0sp4qtnjUNDzVT
84Wa26ZGD+8NeboWHYx5/ibxZUY5Auf5H7SMP/H7+YYsu34jTbIW58eoGS10WMODjSFvkVqJxvNU
asu0oloSfnw7giJZAVxo1rVmPVXIH5Y0jasbzxq/1G27GjpOME23WyJdsqU3UoqbqfkUh/1lMEyQ
pahh+hyvcQ9dMqtmqzkPcNumBzbF28znzUJyIDcmT4fNbAwi3aewGfJDIi2ALf3KQH6/nDdGTD3I
46xgr7hU9mlrPuk1I8S3H2/7N483tY4F4AqvPiFhr96TULfjCst/tmsc9QWA/AWg44n6gpNn8VjP
9dd1q13QzN20HpXe9ZnPw3ajhmZYVDG/VmUo9ts8XnuJt3L72nBWaRtUS113c0QTndqhFCFAK0rg
twco+Ks8Db5UCI1vy9oLV1PAexEpP5nUrOVLenMnXWONiVv12BuUW6JG1wo2qFuOAWKr1KWyDtgY
8j4MUVUvgZjOVtfuoe1ZQWu9vdSESTDDSm/7rruYVkdWbEo8DphCY1UN0zELhwcUrUxMEdfiZ1Zf
7GYqN3XZXhx2BzT37VPPS4RNZvdgEL47V/MtMrHv79f/Uvz+QPHjWdBZRv/9yOl9+xz+2Fn7+xf+
7qxByftLWIImlrAZ6hgmtcI/Rkk5j5rYNuCwJrxEmIx5fuitgf2T137b30Mmw5mTVoQxz4Msx8Xf
+J801q71ww/1BQnRVPKszd/NkTT+fq5himpGmynwqB5Otgnt7FAqtQHm6j1mmWnskxHcFrJ/EqAb
xOgvUqloO0bcYKrK610NYorbumA17Ih+zyI5XkKlrHsG+40wGEaMoDvZ6tGSR16XZTZho4wT1Jij
lvN6eo7vEed4GWLYDJ6BHcAQ5vlJfe3Oy7DFHOj7I25f0oIsXGZHDpHru4GdydjvA6fDVbz3wd/E
NC7cqn9X9pzkd1peOIjBzVA310E8EEPAuTQRwSTogASHRVlSYksLMj2YH3CSIy91ZpJzOaTRyc+y
cFs5zM4JNbb9hzzTMbPjdN/xpeg60Cj8PFBXPLixiSYFE3h8Hgu88CPC+AlewCYs/O7Zk0Bq6ibz
2fEjh2I5IJzAK4h1I/VhnBw9P8QAKSya+SA/gIsOg+iro44uK5dzfMN4CoOk1/ZENOBHSJhAqHdE
PXUT9owgiWdzT2npzlYHWNFBrBFFW+2kCHzJfCPDs5mMF5g8UX1bAmbIuQpEmlIN7q+3+X9XhD+t
CCSb8fb59yvCh69N+z+PRJ5HrzPlv//mP0135y8GzPbMeL+uDHNw/N9Lg6v/ZQMtdE0GwDMXnmf9
X0uDwF2NQMFx6SPDnpkb4v+3QtAQsIXARjW7qwHZ/Aetd9v95ZVr2CxBpsVeH0ceAXo/LxGBMslU
joOQtprTHQs3B6tImd0cDYVfIDXbAulNZ8hLI+FCkVS4EHhvVwzThl0S1jhhfCrmTd169TtoIGhA
jdR7jNw2xW2Gxsa4JlgSQVsxtZxzLcc54pJmtFNvurjz53RHc0AMQmi9tTATCyurB8vBmgMzK/Bi
3NodTHKFTS3I3OC9zBvShHqLtBbPjp+8YXiU1yRO02/U+4mBFQ7YlGjoXhOrds7uDAZSPNtroOc4
Z3uihkQXNml+dbFUFRFPPslyhT+73+ILP0d+GTercIyHXU1u7e00qBx/jiE+MOPsj/GcMAoixtiQ
3xDe615D587Dbb7wiG9p1npmR8wSySq1HbC/ZIiq7F0Q4gQimh78SMNfI4qUR09G7wviYOc5dH/r
mgqPH0GZWiWKVdAXPZzeyGzfJWQ532MhM84+FRMmBeROEsh7N9tGXG1aeR1kGpAy5lpngUSdVaU4
FziFRkOkrFl4UK80xyHn2ECDl5Q7Cf/UmdNeZRfeIU/tW1qNYExWDgM+2vUD6nggw+ZNS3wqxWFu
Mxa2p3bhZ+3OG+ZYjEYRxllGk1xrvU52U6yw69ZNbnE9rO5mcvVdG4uP0Zxe2/Fd1onfPvq5Egdv
qN/DAjWXHiP7TzWejIMMS2eRKYQNtA2QVrXWKo2D4NKYQE1XvUOmihtnNFOvsbpemoXOoswK+y7o
GhtvmebP1pT+o1/7+pnEr3htBTZqgqn82l7De3M12Wu/ioL7iQTdw+iRURnbxpLe23iTzgnAqSTG
lzww/8z29wluDAJ+xqH78BoePFyDhMdrqDBAj+aTGKruG3Ydebaz0jpS8BnvEpt9HVTsjvTQprKX
bZ9xyoYyq2+7OcYY7MdJo9u91gfx1cyzT+zKCmK+UAns+zkFOY3IpOH9IZtVViv3oxuE3cOkdcUs
kE7XduUTpzxdo5XFNWbZt5keL9N8GD6FsJjECgxeVK4brSIACtWrXExc5bXltMzQqKbFuZ9TnZM5
37msIGgtR6nw/JT6/WDJj1PjfRR1B0PH8Na1g9IRZW5UekvTIQh1S5cPP3Cg2x8s0qUDv/wqUJ4D
256jp2t27Dsr7dmuwQcomZG78wzD1ul4sXbwb4CChNPm1JA/g9pt2I8yzxpuZjMcUfk3g37bXGOw
XZ8G+rKry4/ZNSa7nhOza9Fs4jlDu5/TtOsqKW+h5pOw3ZO13RG6TaZtuE+uQdw6uP1s1/kQA8ig
VfExMQQQ2qgpEbaAb7duGzJ21o6B8j7MfLmuyhZ5noMQWpa2+8GsM2Ut2umYC0fbBYCNt4lL8CoO
Qm1j+arHoK6GTW7GGKzHNHkaLUOtsrgajm7kbEyEIjQBeJPTtMNpntSxdQZKhLXMRidvU1ss3T4x
yY3JqkOcIIgruq7cwoWndSKz4HborYEzEE8k+6TC2lutW9+OsC4eh4AQ6ZReHuymLG1K6KRB4a5H
zcg2cXm01fjEdIrshLrR9+PkT2uLnzqmlihuZWqA+bdMbUTagnBBrKzOMpx9YvfEETt1dTYQfz6w
wYeuTyTVKrTYWy1VOamtTwYkZU2aJPATEM6YozMcEbWCuKj7T2niAkvtu5A5p+PVG7A/Vy7BKZ0C
9Y2JGirh3nE2pOOZKbaekqmE33zBU12tbCf0MJ/YM6hdF90elWMKKsavb6K0+zS3YjbEI/W7fKoG
nlJcMxMS4mEA8ZpF7Rc9522zdkynuTEzxEJ9IN8Fju1CK8XLHol5YJq78TZ1tGwRTvUOSC2mH16w
6xxUxlLmGnFfdS72QkFb9r0k3NsD6Wc2nv+j3UJbpph3N02JGLBzpHcccyfCy5RefBscgNMEznYo
PXxouP+/dRgzZ/smfs6sZO1llJuuPEOv9hWtEDpwAS5oMRr3tSyWWgG4A7qBqW7DMohOkRjhoKZs
/xlReisLZcpBtZUPSb86Ysmr1hhSmxei3OE8ZOWwjuFl3LSGQYXZmeG+nrzPbDOzfWAB6vSCbt0l
w2fK/G4tpEJ32vG6gS26d+sm2FELG3Sh3FMv/Uvb5MbJyHT6zF1vnZm+Zpsadmqg4ksnGu08hPE9
4zv3wOxT52lMT4GTTZsRLDevxgjg6MLuG5u8PUhlJibnfGH1ZHrV5qjemwn+6qHjvF4qoP82ORet
6m6hgQbFWufNWUNlHPGYtcJQAbNaprNijd9qEuvQ98rpHZYHT3saGhzdq8hx0LUiYwYq2ic5TTug
yinAM6eVUu1ABryz8M/Gq+maaNHAKT31RNNxW1mSFnUcw/wXZFl8VddQDORF1Z1e6FpI3kc9fTCw
VH/ICjEenDlYo5sjNiqlDaRtZA5jb4wG/UHYycDSn+acA+J6d2qO6pAZK6YLC/tZzUEe1HPxoRde
Z8B5IugD0yg95JltwbBpTct5YJQ7B4PonQbbkrCQRrnVBskWMz3Mf/kiy1lek8rgBNH6HzehCALg
Lj4okXgWwpcJbQwvo9EW1XNeiWAsvBiKjm4sbzc6nIVZGse67LC3tXrNnm2hq85zF7y5BLYc3m2w
vEI3XjYO/q4pScODamSOOcVt+g4LDSHhaZhoe/S1EKaFj9VnwXbTu5MkMLbLop2qaJNYFfIC15uQ
0Bodrlc0SIAlYkaiYyzisxvW1SX2YnDBnq0iIAGehWveHzc1++nddI2IYTvTExejaod04ZoUmZT+
5srHQnmTXUNmmI6rJyaupAg21tbA9A8wfZqTacgEJ8skiXzobJAVyJ8c0MMRHLo2Rg3FooJoM1dA
OFEzdDF7cw7CgSo8a7qFD8O5m5NyYJ6QmtMkrVhivWyfWLyntcFJQs4hPyNxxzvsWCJbcEVJeUiT
2WVDA5HxetvFCriMpS9bGurl0rRDJtJV4zKwT0LQC1Z4W1pDCWGYCKChc6y9fc0Fyg3XOjfXtKDG
ytOtyTBs7XHRDsBnyBVKc1O9EHZDEBw193vEb87RN0OyiNCnOTcNElJ75Qcy8G7RFBhLXTlP7Zzt
AKUQrFhA3kM6Jz/ooyX2DDQmdIz0Xz8apdkPSxLYyY82HNYBch1v01iprzokriUZcfKZ9TQ6RIMG
9bYy4ef3qBpIiMwcktSqiGzBVkCDCFoSHVXeGheIksbasgcgqspJ1mAdvS2J7t3awhp2nJx+OKkG
tUmDqhBy0UA4O/mLiwLF3LOqkOSh5SjMjYxAryxKWTJVp128zGbYheG3FY17Yh31Xjgveq6PN2UT
TSeX4f+7cmD/v2Q9j9GMSNgSuUifAimIAYL76qG9AC7GLEccROlXuJes6iiqwD4bUzssB1FCqptA
j2vTbKF1zHKtckdS+wO8tUgWWeJ9DxOW5izfDHZpbeNUy/ejoBYvvXR4KOrU2GiiXrdlFd9FAYaL
OCbiPnYc/cgi0dOVDnlYHFyJDZkFt8bcMAi1qgT0E9sIg2SGBLFX1QJgEM96bcbHEpn/msyBigKq
Tb+EiW1NO4jjAw6Dzv7Wt0TsIEkkXLBMvfGWkKLR2Ay1WWz+u////2juDBCtbLr//f7/8WudFXn7
U1Pw++/8s/OXf5nOPEdnI38Nd4NT+4/cziDxw4Q2S1r9VUnOkf5pClp/zbpwnTY4qjsT2ei/dv4I
0OHaUptgeHCZV9NK/A92/vP48ofWIA1Jguo8h0/IQZD+zX//g8DAlUBVo8JFyuQyb8nC0KU8YYb7
wzn5jYxhbtj/cBR0g5IJu03nk1EUZ2L++x+O4nfELxlF4O+6OCcpidchLmookp/yth/vM9sh+Wmq
yPoopvZPwenz9frl4OD7mRVy2hxO9s8HD+00HY2ESOPA9AqE23UzoBmXHNcSyQWXU/Ec0JsE65oD
+WkmFX0dNZS5WO1sY5XWkhCFLo62Ld7SpVFp1aFLivCucePZaJcSg4nshv0WvpTbrnH8S2anw+rt
E/jbL+HQ50F8TFNYfx3ALmpeB1k7QdqZ6CKOJkFgmZaZe1yI6n1lEIvny8Qx1lqGNAmccPkR96S7
sgoiPZZt5I2AQ/XxvgAVgBt5irYEwk2b3k1IGWKAQs9hkA9Z1DFBgQJJRZ/l0fbt7/BLi4mbAHe9
B7XVZUjxWmbRmEbXKWfweNmUA32WiX0YbqXtvGK/faS5WfX6dqMJjySIfYoFl/DnK44dtZnpOt6u
NwKBdKbi4tludahbozoLixnZ28d79RBdb2+PLp0J04yb7HVauS6bPCeugOMFUX1mRWmoxUkwe/so
vzl/JvBWAttdJEF083/+Vl7NcpEOmsuEdYjwgsTfSsOLdknjPrx9oJna+Pr8WToidocHjynG60Uh
DlApDNyDO4Qc6X5yGvTeHveMUlw4lUE7ZeBms20v2uQCvc+9KWmfrMyYTUTYofrJLKs618omb8zu
rYYX+Rz30JMDsgvmvElybNU24t583wek5CyNSZio7+JhqhdmwEHG0tTXZFlGu0a3mw+DPUW7t7+k
cVWJ/HSXQEVExmA5ukOrwbNeOW/mvDN2pfW4GwgBgDtQMK0L/IYqt042RdLgXDaKb2NaazSkSIzg
5o13aTaH78qy3cAJIPI3iQCstTnzO8C8HySg7JPlKZOuTpZ9QLS/ruWgv5MIDWk2DSmgDByAD7pI
vE1IXhxhRuH4PgxyHetppLbkDUkU9J9YzpKd3VoWzS2d4W1UMIGxvZDphI/pMrCjHTRgxWYmytZM
QOS2MQr3ofateB9rmNdzWeHiAMP2JcTCtMyaBHVHCSWwTOVQLfrJMW8yt0oZKZCXUPY6/knECUu7
s0FBtZJAnYT4o0f2hMyhaZngLtfuLK9UL4q0ILQmYQsIpDW2lm9iH41teoYTvtoVNkfzbIWGeMC8
lH0gQj75VsqwoBclPAUSqQ4JABmKeXCUh+OTQ4rlysn0emd5XrqPVTzeTJVn39l0FFatG+Xewsii
4Q5uRPUZloT1LKpmDfg5XoZ+8lUDXXMLfFMjDyDCCeLUByZQfGriqojA8WaNaH4q/NJH4J0jDQlq
lJ4aSdVYnW/m87kq0hjrBoolVHxsT2RmfLRCe6DBEQLzTrLsBsCxeq+lSYs5kk3eSXYamSNqdkII
3i/4rQdjixjW3XcAhZ9rwm/uKaQb2GmMopCIN8ZDYm7Iq+KO6FOE1JVhPBcM0jdJqGuoGUaCjWd7
4Xvc0NSaCcEIvU+qHViPYDeobhOGxln3qaRZ2/p9m0LSUtrYusjt9Bej5prXtizPqk5vI98KEV73
CWFOKbxvaCoL4M3dshb4k3X2QSIwQYF4Y/COpv+tH9ifwlGJXdi24uLLSa3j2v4AQuQZpGG+Guom
Xmqx7T22NP3YltZAz8ZuIMwq8RZFP43LTNCA6OJKwyoCW9TBOssSBdhaZtdEiWI8am7gbWF85Eul
uT7MkVDxYUZ/A37eXIaJUdDTExVJ4byMnBWvIQLQA9dGwTFEIDEDW9/WTaMdrakoaEoXYlmDrXpm
RymIEWwcPDnKconY0ePyjkYoV0g2EpOZkuYeYly6k0Ykdk7B42JrqiCHB1kTEfH0YpnQh/Q3F+g+
/OUo4vxL3ZvBU+zL7sV2GvVk9PVwyPC675Pea6GJluZNLTRiDdsEGoAv+n0H/PROU2BjulRB6FoA
oGrkPo88Z6pWsrKzdSaCjDC0aXxv9iLfGAKLKW28cg2/kF6gQh3kGegCpF3lNxH4Fczq7PEtxNQ3
cd4RW85UtrrSK1Z20amtZrs4+huRbPy4V2wI6qE4CRWkKx8QynLqFYjMArxiSbzJKgp4c8iJ9FO6
bOUaLIm+5hvXB8fGAzfUTAv0UCgcbqL5AHfPvNN5UE8qgt6woneP+lNA9PtK8u0Ac17gHSbj9EsI
qmlDpqPzeM3MzC1HPmiC+gKCT0gqwEB10lPyAX+mQxTg1Vr56YgOpUOVuR5po1zSwKye4thIVomY
hlWkURdqVqm2aSKN/WBWbM2J8Hks2ibdV/R9XiYtFCSkm6w9NV+yKim/7LQgSBS1/U4pozwZ4eQf
nAbJihoMGnu2AaMiBpK99uqeb06K2x2Y0YEeqKGvq3YiecAyg7vJKX3GXebE7+heSsAnDAua0Qaf
JOk8se37lq+k2TJYtFjU2CvDJFljh7TuJAsD0KMGr3GrTzDI7HTpOZ1/oFaxwLzbHjzRtD709BYX
0sAuTw3cP0Z9zbpe6PSCFdFnC2obBjOg+LekmVlHaFLaRXGAcAV1nvLCdyo+Niz6TwOWh7ktHbYX
Gp38E8qkSy30alU7oXwSrkUMuoy3DojkbRPrNISoF42jNYotZkEccXVnnMiGAYARVuM+S3R72acx
EZWGH66LvHsA10EIWtvSOE4GmlaRuK/9nLwE+Df9ti57FW45/U7yhQFAFd4wEK9A0Csk6+Aj6c3Q
HhCrGhWRf+OBIStZWekCgFbUzfAESHTMpv8OrP9/rmmUxW+Gp3x4bsIoD5hz/rxnvf7aP0IWAlRQ
DQJQ/Ns1TWn0j5CFABXHgPl9FaX8a7uK8EWgX8W0ZdnoMQ0+wt+DatP6i0RDaTDfIVPYxNT9n2xX
f66BeUTwpX0fk0P61tka/1wDkzRSdVrTgWHt02xa5tHYnclqpFc0DlXz6e0S8ecy+HowxJOz0t9j
OK+/VpkG1mimTtia51BT5cfcLPQHhff1ES1hjUlJF0jShWM+e31c/6E6/e2hMcghJpqd5rMz/ccN
c6Qlcmyhsp0nj61c7hEuuO7V4Ixrp7PlgwEkAoC0qElHY4ZOmf32N/95AzV/c0cnDU6g6QSfS4H4
8+F1IwpyVmnjnBJaBh9V60lwEG03lYeomA838ib8w/ZG5x75Ydfx90G5VUzEULZ0Xu+i8pJk56D0
9LNFZw9zuWvsGaJPtOpgbD+WLdsMMzI4eCc70nHCtmtfbPp/25Q0NGNZ8QLalk5AolxDupi/nqbJ
fLZdHXwShCIhj/08j1tFZEphbS8luQ4jJHLjD5vBedvwf9uK71/DpmFjoeSQs+jq53PnDq7RjU6o
n6kRuVc6lP5j2tG3d5tRPmAhK45jwvvr7Sv2s1Hk76MiiZ4nUhzYe3XFbA2s/GjV8hwTHf8A1S5C
3ZSH30Q8AqeR03ixzFKemMyBTlchJcbbx//1wXQMyb7UIRyJ++b1s0JKck4c0cgkXLPHSzQ/MOCx
SOTrK3l6+1CvpMbX70pELk8WW/zZSvFqEfCV0+ZCdPJMc3m8UEfmyYZ4Nco93zCaF7KEzOde2PPT
KbJsWToDD4sWO+jXEsiIb3+a331xPKuslrSX6ZLP3acfWlu6qRVexUjk3PEyrRiS+2lxA6GI/S66
3z/1AH73kMwdQZ5L/uv8YkeQZSwizej1c91A1gHylqJzCcbi2DmiOALMNoG5NcWxqiLuci+d5Cnr
qfOX2Mxxd8t4Ko6a3Y+XoLJmQIHQ3ZuWinYtW+R+YdhTVhBby1MGLGgcDh7G+3Tz9im7iolePSKO
zvWjm2GR8/TavxGngd+5wPbPvh+LaoMGqCbDk/tmbLPyY13jFCKihnVPcQIzQFRrotbwwTTKq3bY
GphqRInJ5nUaJph10hfNi1uL8fL25/zNKujQ/iCmAo8cHudXT7IGO6kn2VCeLRwnEY0JTjMTifKj
FL5kKF//6c6epV4/rR22sLir8V3R/BU0d18dMWsDPRaJas5DaRRHq82sZ4Kp5v8x2LR1whjva8Nu
bFhzvl9Tv8dhvhjAYr+LuiQqF0au2hejoHaOBSuA0HgIIsNk4ZzviespIkuHlxfaH++mQVNzVDTt
bjQtAtgPToiolq74gzeAb/D6a/FNuM6U2KZO5++qT/3hGZncxHMqUp7ORBHRACiZQK1iR4vvKpzF
7S6HoTyQWNTDy9Ut6ttl1BOPu/EIr4oXGGMMsVQjChQ91vs1+yFn018jluhBkcqXywBKouZbYI+J
ogAfLsJBew/EMGhXwimKejFcU5tMzwnBqeiCJyNuiHTiFTCnO82QedMt8zOBu+HRbbL4hs1Scepj
qmyyK2osExhDtSfJSOtOFir9IpJGrkh7YMjDPI1hn2IA/KKQbNuHVoX5Kmp5fx+EZ2Htqoy4vK+u
kVSQSjHGmXNSleUQIb9AEaGVj12exsPK8B3nnYeXhN0MGgEC0PS+InrHCkh/QgGo6iXbNPczGnUY
kOhm2mQ3YeMlG6TrTFAOFfCOve9K80YPOpDDZe8zo/a8d2roJaxoIp3rMxYpyd7fanMLFLaeABMP
g7K8d4IsBRTqmaG/cmOkweiOeO0m3CMOORMMEgvyRSo06gGaA7RBDnQIPl1hWc+EClAmMKqXJ0pA
FuK+5GluIsWvKadJw5Vv0CzHyZiCOkUU59zA1Uw63swSSlbJhqlj83KgXUt8GG236ob+DqFigbom
jJXRyMA2iEJm+F77hY6RTSoCW1UiUcm1x68fnGrdrDc1Tl3kznS/hZieZOPiOQeZvAJsAButLQq4
fVWzJevc36D9LT5lXmM9FYYGqcIuwxdulPFr0Plxu5joyq1Ex+WhzdTm2zooLYT5Tr/kxrq2O7CF
jED+NY3hc9G+mBXk0hFpcPmgWW6UgG9xmwTlYo515cHpCc3ysBDjpXdWmZO5M0mFmKcZ4wegyNf5
f0kjAnMHU1MNi3WkCHTIsJpIr3zSwh4CSOYlMYwqVanMZdg4Fz+TRXpuknCmUbEU4AHoHbPaa+Zz
5Q5MBGCml4r2pp++H7WGK6b8lpcCG+SOSACPdQVsV7SNFHflInQlL1MTJAoyZumUH7264cra9AxQ
GcVYnYSo3dXgDdxeeQC0tUl6luzIDM4diox2OSnbfPatYSAeU1Cvkg/NapQNOJ39yXscaI6/NFNo
7uk0svCYrEOOmaEqr3FsLyqeUBdRj8G/XlXW3KmCDXqkrPMfOyRKq0RlxTHJE/2hwibKDxWpd9O2
Peszyxls/tT0smAlZcufBNPcQekjCh88vfwBW1QmQC5S0+da5029IHGVn6hDGZ+g+LHEeBafKqgy
78ZzivGCiGnOLrt2I+Y1khrOvfFpQB2duKrB97oNIpv5VHrIMR8aKEUdBQefFoEeViV21QxdKDv1
RWdF6r661iJJCrz0Lod0DCyhl6du4or0JpWh0hnDgJ331roOw6eL2G4YaaxjC2F6Q1Dy3ICfq0el
c+4lPdmIIBzQhWzF++aFYJ/xgu2neWGwAuoxIHmW/lJvPV8zlHEJNC9lytsWYVD1kfhfqt8xatTl
WihMSZWrA8xd+1kfqe9hxHBpKz7MqLvxi2mkDueCkcG+qGYeYcgjbRe+ODWEsBQ33EZcO33+tMAw
ePE0BUorn08kYkERXhQIRCyZlB9JpeFtrhJdq9e+7lGlNxNBx32B4X9fNTWfnPQgKigaRmq8qbQa
UPG1wIEx660TlEMv3zc/xvxOZrpP9xPbognWgzwIEhNLuzNvB0u5N2Fmmc+hw8xiy2uHD0jLMZ4W
rpYP8RpQof8Zcz4Hz6+PkKSBPm56RP6UQbx5iOcbzq45NC+p13CNSvKniVxpXjwydup1blqsbcW8
VUkwC2ylkhQGTED3Nlf6lDco6/g6xRHYv31BFoYESgtTPi3RIvVuGHjjkglEXU541EkA6AdaBNqi
Xsc95arp0hG8LQciniEZAkfAV0e224KxhWusGbPxYXxiDxcAqThnrXS9x7GPnIc4obW/bisRbYGc
cY8AlraeidvmnALL4vtfFwFsvuNFoQl1l2kSEY+oLAONGk9Yac+Hz4bWXSKUohxrZfkxBrl6RP1a
7yj3K1TZBlc10huCBnmRcx4GSlAvj/xHLVTj/agC+xmUP88rDudsrUdE+KwCiye+rhs+yfVONMdY
giOPWAIsSY2+RqPF4mMGVdDce6NPXKBbzBcorkAvbPTCr3ZZLdGWA+GHC8p2tAFB0VIU6S6614U+
BNk7JWLr2Yhj+aBrLnsAaH+8mkZXPgyEQdNe00E/Lljn0QCTlVJ+tIOSB72Sw3h//Ya8iaiRm1kz
VBc0EK8b3mnQyo+TNHhEmdg8RCzdYjGwpX2gnS8fYKByWZCvjfcTwajp94rx+tpUKEuGVZlqxt5w
Q777ZJUYy3RGDnGn07rvOnYy81mjmzZ6dLxlOq2YHfHQ23wLZE3mcwkn3oAWwmQxTXIeq0kRAuUY
k7EhGUO6sJsCliNCkqOljk8eOkRTWwCkueXBS+CLuYSRbxvrgbjMnYosIMsWdjTrMtYDQNqcSCQQ
z7WwnunPcdfw095jPgq2rWln7pOqIJXK89whPWS9zW8zQNOrdzRxB24Rn0HJEgaKPEXxde0b9Vjb
FoFkkacUCeYtOXxfkjAz7onrCfi+Fs0b9z7WWRfmhZVgcN4413sXFiuvtbFFoDQ6kfrMKN4/X+9P
E83xNqYRsO3zykxunc7lFnEFPBQTo/YhDFRNk/t6Q5Bq4H4rHeDwy6zu650Wk+6Ywr9/pq0rH653
hT0mPBTksMiTjQ1+K6tcnv6XvTPpjlrZtvVfeeP2dYaKCBWN27hZOV0CxngDHQ3AoFoKKVT/+vdF
mv0OpM/B47z27ew9DCaVCoVWrDXXXHPm0qANsOuyZotVuYO+hqTRa4iZ1jZoXUAIpoyzFUtpbsia
KnYfc8fo7gg6JhcLiVC3o/Z07hzBLbDlnAf6Sg0W9GXCmxXELSdM4BoNecWmGfKGaO9lzht6lus7
KnU2tW05CKD3E0H7FAHR8MOLvYkDFpsJBnN89zmr5OE6ABjEAYSPWeItWIqOPUGhSSDvH1orjAhX
0Bignw6MDO69duG6iVrm+2oRHWQrSjVEwhYSP4kiJ+3OEZLshECgtWMGakZZn1xofT86YTYf+2Gs
0zeOzu3msiaM3nXQMLGnDHuugH0au9124rV76OVAEpJYRfRoTyq7qNVs7hfe41uBlPb7IZyrN64n
v6VWbG0LtK0hkLfYB3VE9qlI8h8JrjGbwAiYeLihFdux8XiBZ47HHEPfdrtkCJP3QJ4RGcriPxb5
wjpnigfayGnFmGjIvYNdh3C2k7ZhOn6cq8tMqfzWE9pxtpya1SWV/XysUQBlAF6pGrcemr/RXJIv
+C5KDQzNsMNgVOMjM8+6t6/QpIEpiRMEQCTAPDnVIFDIccu6vLQaFxQGlG3YtmU8We+T3OXxdJXi
v7CAWSRPrvNbEEAEqLypO9LBIy61IzlOZVK6Ng3n+yLpyfDm1toOZgbvVCgXJVF28iJe1ShtaaXa
HV+PQRrAJox+ph3Dd3zT+XSYxClxe5VZU+C7FhGSikhF+9yc4Q4mFo8xM9oJmusm2NnIyyAmktND
6HpiWuPPQXwNntYdcfyKbrIoEZeTipy7ZJbRo2P1+sldcffDd0RcUoPxXGvf5fxEUZrdWiVEqxXn
mYeRK29PcTPKC4JjxIEJn5DRQrc0+aaKo/Cm6kKUfLHBJUbPQn1C6RDqak/c61peob5k82Qx0vtW
Iw++8SfcrCsOI1tqu/ToolP7XYy+rbFoGnjjegtvAVm00Y31nGG0YCQWJ3NV1KG4DILVDi4p2Obe
TBnD0h+G7oLu0nDAWxFnLOhQNJqL1XnA/Q3ITkZEJXAeliTILY4NPIaoJCqfg8VHhPAhBbHerS1U
JoWBwl23JiYcnFJm+KI//AS9SlCyyj7QUQ7Cvb/07oErpw9pN8wfkBJab1IEGD5ggVNAGw6QPKO9
2q8HDkQjNO9XGFssQllvu5M5L+k0Rr1e581HFyG0b4Py5BO8/PU7pggjZoSzJt2emFkgr3JBLrR9
4xjX39L4/yKIghXwcLIFbpFqavdtQ2dRejMc9ADif5L72V/w15P3Pjk+0xlVyYCiMRteQrncRZ6K
P6QWPZ+mXfgkvPjwJcZxAI/i9eRXXKIq5mxRMcFyrYtG/9MJnfnfkcRXRxJPAMq/pyT+lelvDQ3G
3xs8/ulf/WzwhP4/TjAxFEMEjX7TAIzcf7ChfSB1geFU8JsoLlPJoUfmACQkXDiD8KD+7vKgiht5
AXiGL5iYhJz4n3R5zoE3Q8aR9L6Fx6cZocIzTBUbvQKzO/852ewquHrSIVqsy0LU6ztKn/8M6TMX
DFyga2FwN98xBK9fAKqCu1auquS1J91w54x0yVeDXvtlCPMWMvwrEPY5zne6nvBZL9or2Oae4XxR
7jNlRbvsOmhS/0tuSotTsqrl+Bowf469cSkeNS0BGhK2EUv5/dY6LJmSoXDEdWFq8AwnpaPsV0KT
7yZEVawJHoMiJ16ZQu3Pq/ov7vJZeBkuHm2085nSqYXMbFuduNYusHQdKgPDy5oDjvT5NQ7ei64A
N8oORERZ+siAQTH8/UbnpmR0dc7E9dTQzKMEJCPB68kmGR77gNOiBoZLr1CqpdxZOopkYmBD2TKX
GbAGM0SvNLRe3j7juaEPVcuBSCdOLLtfNhWyrtS5SSyuw4k5vy0UMIPIFvzn/+9aiAjQeGULs3HO
NlTCNCrK+4tACXoCTxCWfmLcb74fTFr956dq1vFX8D6K4CoDiksZoKOLXtbv64zsnzl+BnE9xukP
7aIkSAHzn3ZVThehwXv6P1Hq7GECbIugd0txvSJlf52HI8XMSRPFIfd+rdvpmNU5vyUPprWL2ghL
eN5QCmPPGVfL8a5zFzWQ3amBAueB7LvstPoUtgUVkb/wkpqG05L2eAaPsfdMWfi3gj3/Ygf7iJ+C
P5tX1SQZv69sjIZPHPuFuJ5RpL7yipph4takRsrS7FAKn2pfFC65+rIitrQ7vbzSdECJIK91oP/V
7hUCKdbIPGl64L9/maKM/LkqFC8vNLT7U546YfV5TSUT7f+8o/7VpXzm2+mgcbS86LPPKqTEDlrv
OpMsbxQZyTOrNJIUITJCr3Qjfj9bCN9G39YOkJh1udyL7aswHi7bVllXWCxQIVhWR5/JA+haJ4DK
EfZd+EqH0KjW/7K9zCVh7Aa25yO4ywM+76arYoU4jOTulc104AWOJCT6utMIN0wWvVKNFgUjRlQD
zGCBKiS8UhXdg+vAqknnw8xvj6tJlk8R5BnqWVbQlE2cWisNbQPLvPJETkfsP18Jhgr8gGjKRoTS
4aGKcvb4EabIxcxM2ZUu7QoDBchcTeZbh8TRxYD5W7XQU6RY6BrsXnO1+HuHD3sHtRJYYMmNhXeM
uhW+FTLpn1a460+zW7B1n6talx5GuiMzBIWRDmXehuklEGtT9CCB2cGb4p91BkkLFv7dDuIS5Cs3
bz/1pmsVJsK76nIWEFXLfHmLETpYIrQVKIprasEMjeLWOTpa8tF4dUNXq6IUD62yw8xtkwyZ51+U
dcs1DEDl6xRstjU26mIUcAEBkpw7LIDZIUpQQoHZ9+uFRcrtX516c7pPKnD4zqnTKwbm+ie6SO0n
lIBddVU52XLvhGQtlttbYD1IKWafnSXikQWr5zNDNoEPPbbQ4z7VfeF/KTKX3S4Yk/+yOBEAuYMN
H9RpgNsKmPSbWmP3OLZBe9/5fXUhJ8reIEsQfCf+ovc/RTi+bk/oo4VWwTWYBj2/GJjCmwUrSrvw
cRFudnFqkJ9ax6cKFcYb6xNNcXCvdbI+upC1n1Rk4ICTOowzd/qpQD7QcKF7pF517HjbcOmix0Et
/BbuM95lFNd8SmXKbsY3wNkYFoUuYk45nMPCg9I+eoI4mXQ5Mxgz9j9LEJhCNfUFnQnG8oMrPCUN
MgPqeALf7dyl+qWbNu9L2wI2PAGkbYbl8o5BbvklwEgJFDPPFROZTbjgWmvHgX91KiUt8C0cecVI
i9idDQEEFniBq17Pueg3OJqyg5Ml2Vdr6NylFo2v3SIrIBkAfZCLYBGcN/A6KZidGqUxXHvhcmg7
5mPDnrkKZq3nt8oJOYt6BAKMhzTnMkRwZIG2yoOKuAbMPW+djBbu2LTyi083DcpO3UUlvD2ne594
q3tc8ZYMdm7ii8/1ONYPIRZPt/gClbsW4q+zARNwQqbh7O4qKxvUcErTStDlPCNbs2JLZ+vYB51b
MzSNffpim0Dmy13INAwWTykqsVURRdtMaoB+2h5bpjuWh4IZk/3QpEpdFTbORjV7Elc35gjfARnh
mJTHQwVg0PU/QrE2lwyuDncoheJnuMw58jpDQWTargbVZXAOg6EewsdHCNudPmi5+N+QvsF6lCGa
G1qdXXIwRA407waV7RDary/GZmjuIpQTUD9edfo5MR24oOkZ6Ge+74I+RHztLH3QXoR68j+haWkG
UzBVRjuoufJEhYPvPIn1c122BeN57rrVTFl3aM5hogXjtP6cI5jR46RHy7ewu+DCJKMMlc70PHeG
YrBvyQE3I8nLoQpdRKMhizLmbcf3A5DfJXQWdZl3qT4scli+Y8I17VMrs3C0aKqPWTGKbbnUCP3V
GZpgLZb0TDR+wQyD9wOgexe7OPcMY+ccKiYLc7zOwJ9pWGJHEkN0LjqM95h7p//Ub0EpAk9uOsg9
SWOevJpuyHTDo+s5i9zVGXqBAtNIGoVlFO8EBuaA4koDy2uEypoFNYmqGT5gPYVZ11jrw2CUN+vU
/lZiQ/sxKjN3k0XOfNAWVpZDyfeI4r56x6mEDvZKeL/xRTttVGLzRANYCDfgD/VbKF/qLfQ6NrXl
k5F9ObUNLPjVCN6a1s6+geWaXyPjTIKNsAkYOtG2f0o6m4DUrJHzsCAwDie7p5PVBQOck3BgDnUP
9xan5L5pbXrItOLWLa3/BtsoGmYnxCtYyu7YowYBFjNITG+x+myumbI0n+bMSl888/BgSpCYGXUq
a6aO0hhgox6LlsvDqASv/pDK9ihmAS/s1HxSim1rxjDpmxRgdZ/cpk3I59IBegwM3MYMt2hVfWZ0
OVQ/FjUK01rsmcMMer2vczF9h5PSJni1WfIv+vnRZZdG+ggjn7H1ek4yRDycPP2qx/5LDqy6lyJL
km28ED4+YvI1WO+zVSE1Fbopk/egZVsf2659Ok3tMbf89YDqrvoAkwHruygQ0wdkbqp7WhQ/3HL9
ODPu8YZJBIArv0TJ3o26YS8G5T4lfZo8rVk2vU+GgCfHG5/vW3DZiFZEMCG9mGbG5qTUwZUvgYJ2
84RZ11b7xPFtMTCYe+yj2b4WbbPctpp5Xn+dM2vTVTjSb3yeQg7DiS6TVePmsZ+dHpvTrhNvVvg5
b1pcZO+rLGy3XeOg7DBiespsuPcVlfTxuvcVk8IydjN/o0Mv2yIbhL/csE7RhukYwkUUS/whQ3EF
XeFrjA/Y+6lPCnh0g33boS7wuZj8Itl2ZYoYSV7joAaGndxFgGa3TAJ4V1Y0oceejon+4maTQhcS
mkKdSYzhfduCd9HrqoNVvWQHi2QWSy/HdeNNJlAXw3a99h78QimkEnFdUVka39jLsL7rU8y4ozGZ
Pg1l3yKjoLXIruZsnuU2bODYbMJ4Cos7fwbgvojSQeMvX1s3ebA2H1DmwuTZKoYKkVYrsAtw0XC6
mzjhfzhjq28HpcaLmYPwus51hStslMag9g7lRUpwu0Ag2cloKSuarckYjO8Sd2TQvc5jaNSakPep
mHvUepdS3syZSxj1bJTSt60a62nn4hYfow3TuLd9sKxyA4PKCfdhGQgCojN9b1ykmA8R4vf0AsB3
hWjhoZf+etRDkN1rPIs/DM6iH8NyEftxRj0O4y66IsxZ4lsI7L2Z1zxggGUKsGeM1/QJgg7nUG8z
iBhbI0a3gqV6O67UKTiSBN1WNnH2Bn7Y/MHuJutWZj2zI5nXeofQ8rpgAxNUHlodSOzd3SzSFwN7
90dcpvNfKvT6b5OMg6fJ7/3sYNPo1VuaX3Rd8qYMuk0cgtuvRpFg16WwmY5Br37IFC9pnUMr2KyZ
7q+8acYjsGlw5knnrF02AgratuB0fmOV9IVd2497rKbJ2ZN1mWcYRQ2i+nIQfYi3gU0XVwTjR9Tf
G2g1yZq/ARcObIRV6/JNjXsa0qXubEEc9nhqJQASvsZqKufhcYZjjw3vKV//Xyz0FSwUnT8Kk38P
hf5PCf8ELPCZOn/59N//9fwv/ua5u9E/6MEw/RcGcDgBjf7muTsBgCb8RGaGJYrMkKv+32g2Jikw
5vh1eG4S1qcp536ioJK/koCIIa0OMBhmNP8TFNSQ5n+pG83XoTeIfg54FvcZnsOgaHktVTXY4ntq
ryr/AeE99myc8lyrxemhz93lESpl1h/04pVEcb1I+W3GfKe+cRpGhtyDstBvQDsktLDuq6MYnQsm
9wpGDju7wpqITqXyV3+DCkcyYnLhja0Yt16J1wjauPmg3TdMVCteq8QmHn+Acw03oaS9C/lUUNC4
TEwNwEQXnsYHWSICk8uo25bTzIjXoR5zrSB66JQhlteq6jPQhsKUQVsH3hbebsJzz1cHk3aHds0q
vys9jfRjKqxJGKzrhOcVt1EiIy45O1ld/Wh9NGofhKGRd1s3HTrup3amZP7wy956+1wd/x8cid82
Wd3r//4v98VXCgIGtKGKhhI4IzoHPAOKlqrRXfKEyZQsbrEVSU5WJWSHmDP5GSrFVZBBNoKto8IB
5uEMvw53W9UUOMTohZGoYODQvirtUeOlscbJigFFOfMo9j2V7fqYMkBqoUwEWce/W1e8qNJ9FQkt
W4b6iNnRc2j5t6jUGdwHbGH2IE19G6EA2gJncF+cFiQA5Enf7Qk22ntZZ1ZzXyHBtL798+rxRv26
27mQx1CToIwwPHKux9//ApcuZdVGK4nkk8fTdry9glAg7I1r84bPXpCLN5NupPF482Vp9VvlJMF4
X2Syfm18/AyPMt+EMUHDwQW2AbM5Ax8dPHmwNsj9p1GHnX/HFFqOVQolA/TvKzghKxL5f773F4ss
MQUglIBf22T65/AthiAW8naB960cGAnF4XNRFqrGY7jGaLH/+Vq/A2DITRCaGPaJUJ5wkWM4N1nC
ergsVCbdp9lJUBb87qI1l+I+rgb2XUKpyhKXi2+UXv984Zc3yR6C4ezDKQcUO5cwgIGlO/q/+tuM
dg464CjGhXgcuVbG6v75Us7LR8j8Eo0oH+iY4H2OXuZN4zB16FZPukRHOjjiMV9/KN2eGLXtoecl
6s0crbFd3TRZV/v2Xo5psT7mOlDK21QlAZHGOlrM0TuUcuiEbdOxdsubAgZtuByHSYjqNcT1xYNB
zkNiREnrwrFfdr2cqAgBK+z6GyTujm/BzE+R/xidBc3vpql8RM/jaqQj/tpivXwwRmibeX7bMVM/
52ErtoxeRCetryjfOFTSUSAzsqogVCnOf46HP3KJBqAogi/MG8C427Vd16HWXkGRHx+yap1QEAe6
W/uvSe3k0cGDB7BcS4glkMP+/GjPpUoFAqUoZp5eExTnX5LkZTKprhq65msaYgmG/xJW9Otb7c8d
m2pdAHbGi0gDOt1ZXpzxNukau0tri03MQrCMCpEs39iAVf7D1zYrw/EH8QmvJkcgqvAcgBn4JrrI
manjjzqJqJaN8FfBTkWcU/N06q73OYbxehx5IhDUTIi28Fbmgu4yl+E7HAD6+dO6mBRi06LDx1qg
O+YR5CHn+1iSuaKVvN9tOmWgSQhHVt/9CbljB5vKWK9vef0j+bGG9LI+drgP8x0ZAInqAVRqcD7S
GlE59tP+XK6PK4Oo48PYtf54r3P+ZNqkdU4E2aRQjnhmbsqIXLshB6YG3OaesnjR45DPYBDfzvM0
OUBc92u50VPu8ps+usv8Ssb4c+VfyHFO+3f9FFQcZkuLY3y/1UgU4V+WJxGXtvBr59dX3Jy5GjrG
ClcSSBPtpzbM5HiMgeOy21LAw7mYHMbAr9PWWoarYR5m9tIcxibyZQzyLNfhqFMOSzvuzZmJKyd1
zFGFbY/cWyNqhVv8zxuQOQ7G06am1YrYm42ROgsq7ZrthwGnCWJlFdhWtcf90ed/UBuWCqUzhTDm
35/Rqhbw2GNqPkvxMwsbvBIYHZasweBlC5eeFZjyFTad3FPyvKoCkImVkyG6aobJiTbUVY2GF0Yo
TorpJpC+FZC1LYz8sixqCaipdwR6s12aCGH6H17BcK3e57GfV/c1zsyoI+aeGceDjJWjR7gZ6wj8
A8dTCLaoZMw2HwiS5sQYaqE5H1LyCnxdvrXVPLKGzQxOWW4lgdGJ34clfWEE8ODGlfg9+fUIgyVZ
IUqFu9yZPf5uQYzC3EQewde/bb14rJN9Y3XmuQfuSBTYdyvc1WqPX6fZvx2EZn5KQqq18SrSo+BT
mqURvAqwrLAB4cn3cO2YXUCdn7kI7p4/nIbcfBcRpUiqb/0g4BVE5q5gp3ir74vj6IceXy8HPjB5
WzzaKGloBqHkx2wQ/LCNvCXga+UiMmvc4vCX/xjmaWA5V2yr+aSSFFAc836mnj8ktm+2qEmtxwcV
1vyXyrfkBQ5yyKJ3pI4wkvYC073xfumW1QSPFHr4l7xFd49XGrUgPrSzhcOTkJq8EbxKOd74EGRQ
l9HdaAKll+M425SWtyMIMB/YdpoeyBaL9MHsai9DRm6nCvQN5XEOSzkz+mI/RKnMonGHIjPC/gB1
ZZqvBzCKA4yfRHmHvlgSgW5xugJ4J6Ot1rdyWWa2f6ix3RL7qELcuCZRoNt950s5GokHu4c5t/Xj
3MveNA7sTY1H9mCeMBDiYjsHl3cZsfFM0xUHQO3aHunZuURUYbouYo0PFD7ammfTihBW3JcaGUBu
po7zJcGLsUKIGSkN3URoVOJ8gMDynkBMuNlTwucLXCw1NBH+9OTtM1bDrt+nxxjPX5nAMisIs/63
dQKHxkTQwYR0PUQ5fb4Me4R0TtPkBmGlwQlQWY+02TxZbkJK0E8LRjTFEpt9aQ+zZg/FXtYWyTVO
8Ct/17rj0DG9JD1CpW4ZvIBlUPA80KWEQTm0d8DILiEXt9eBp1QzqcRZgIfMxGcxwGeiIKCp8ZKw
MxX348FGYJTfpIRp+TsseExcKuyxmt/BuDQZYQoQS3hSYvZZvx77VewZWEXeBcftNRtqbDsPSjtP
v13kdQghWhzDUq988XS2Bi4tHMBOdSBcchyNiwo45SugHd68UJTmkO37oWU7zgB2DbTTsFuID6gk
W+LNbCM8BXSywHE/qpapyHTPuBIDT2vlmhTLuNov39B5oRpZxWDqEKK+WZypaT18tYqOqMp4XZpP
nnVpxGY7Gu2hl+zaeKrjPW4xcfsenio3nzUc/stpDJlvHOSTxSoxnhPwYucI1rN5QlS+WcGf2xrR
FvN3DJbgT71dsUznm/sNkz1qq62QQ8ux2JXe3gs6PDKZpCoTHIgDC+3GfiuA8gNnM6WMody5DCSj
pRkVtHDooTmL/xkCf9m9t6u5fIhcN8rZQx0Noiu/VuhZ+c04qG/I9uOs3SWVJW5jvqm3Rfwhaz9n
xNz1UAQ4ezyJvFy7e3Skq+7LhN7R9GaN8KHfTFZJZxBO3YS9J1pfEYM5LXpuMASnSYbjXddiatBs
oOVVzg38dxDcOOxHZ9vyjNDUxKmtXZHErcdOoNU6F4gnIrzTTQvMcNBtN9pApVj6T5HrDOK9XzIN
lKAHLIrZiIi7S9ygLMj9x+zTOOkv+5STrNwGazmt6H1n5Wp3hxhBBzNRvMTDxu+LWwafHHUYoyDx
dpIEbX1IcjdtOPj8PrjSy4J/qSd619miihIhIoPpjI52tAODfIsVHDLeiSyTI7Tkftc2NrYkMVKK
9oUzOal7iBWKzcg60N1CvDD2pPVWFU0lPqBU2eXNhY15g8LCB+XU+WHuZ6+/tegDWffCEnp97OFe
lhvZ+X73ATHIBBlnDDODTl2Es2RcZ2OPzG7ssE4oi4s46yGTro0IKwDYovHcdBt0q27Drw5qoPVT
iinFOO8Kv1/a7xF07WHYDoFqAloRWvboW8R1K8PdUNgSX8eYYXb/jrEmq8Bu3Fekten3NKzpbDrb
Bn15t9k5sl9QCafb6Vlmpoybyd/+zL7tpYx95575gobewdRk5kBVlYf294dpkUqJnYqnLmZuxca8
oTiizinJxmJ74oXpENhh/0ONzHkNYW0aQzcZEUh4udvQpI8dBzivQyp8E+GQpzMZJrPUsRNjVVtO
qO5zY2oKr9c2sUhJZdqOHD345eWcMnQfE3e9oLnKZ9ICakz2B3nTVA5BDnMGKAa3DSynhrbK/I+y
1kanxFGwOKOLxOrBGtTQSsKk1JrM3qjYKvdCuAipf5xscjesrpZJEcvyMDOHRmxNMaZYXgUvdD9i
/bl6x0i4JSlR7VJnW5fVUNncKHkJwyxbKdE0JyAiNcoZzai8IDVhfrVngVQdmJOTBuzMN+2SNODa
Q7AGDaRzIWEMbBumYfkwO29i3iWNCDLfX0e5iZOFCEp+xc2diG9Ux0o7OPl2uEYhdhePRBu3Hzr/
K02WuoHTnQf1TdIggYuFkFIml6pVYFKWFPVk1ggFDb93fiA3wRTyDumucYC2QTvYdiCXxTNrG9nw
/6tbYvhiUqQT3ONjBsIp9fMEg2HGOhaNbRAL9M7Nt3e82GIhQdvzqLlYsoqiAzt3FpYwk5tvMGgr
Zfv8vRJryyu0GZS3kpEy1M8nNhVO5GJXODhkMQ+EkQFLlkEsomap5lh+ZDgZ7On5MXJgOs4j5d/Q
P4RtzDzHwaN9wjMaaGw53V2NBcmUGlV8O44+jQU95OKYKj+ppksYkz4Gs7AnuStnVQZ86rphzNJL
ZaPkj3lwz1TBxKTAYgr50EdT9WMFXufM22yi89rvBMR0Emc3Ntn8iEt8J4+2SvQYvkV9yG2yGx/0
nO+zrBg16L3noQPFbCyix+NDqYV5RZBJN4AXRGV+IR6FSdScktI4ax2zwbx4yFr3onUD+nC75Pl0
Tccx4dAcmolEdYshF1mg73Um3+x9sx/jMsdPcWuzAhgdrkHND/y5+W2ykg5H4DIMOC6dlO/lbtM0
MKlh4Q+JSeY9Zb7t8+tR9JLnUg5Tw0OF3OP11Y03e2i5jeGELCDNx4CmybZq2Qslyr3kBPlBdMLs
3bJ2o/q2mpwEE4akRDJ4uOIDKo+kFhlsnu1gjRXXqteOW7DVmBmwAqtJPGwZmxvvaVVk3Zexg9hS
IV88qJ7gskzCuxGT0xc1zlku+wwKuSkC6UpSsdFFNQ9Ei4j0ksKT59wvcl2uPaY0l2sYQstMb8r1
2uLLmDozixI/Zz46sUdyDd2EHXebzVFBYvCzIg7XOiIxmJME5bN9jZgoPyXULHhfW5Y1f/PGAatl
G2tle8ucZ0o5MqZdoq0jDD9vePDX0hss9Msc1t9CGN7k7Mg3koUxhWKK/CDqTCKf0EMdH2IdJzy1
vgLQpaGJFQZ8h26UNTlKJPGuZNVNxF2dlpr3sqWTNmlTP7CdfMnlgfbi1YRKRUz2jyqQGEsjDD+z
9Y/QeHAzXYqQPOr51avH0qRWpVVB5mdIFd5pi4zfqM3GqCeDH9FkX8yWDOxwqt/YYsYIiQVZTcUt
I6tnIRErNq841XKibn1If2b0fsqTixihsuEdoxervqRT7pTHULvUFBxsliA/oMc+EjrhWjR8TCR6
vLcv8rY2mSi6KURxmCGnqpHZKZrsly0sC4IUCf/gbzXIlVvuo2Q0VeBzYVHGq/nSzTpPS7LlLcPA
cNOHKxWvGMOcjU6RZLP7p7SueaQZfiF89QF5iKTaY0sU9z1yfLVgDEsBjvCL68KOgrdlAlbPY8Qg
ei50ltUbJCH1Smcg9erii9fMpkJfniNHNGuT6FYOmoqvefee44FgRoiFQLamoRMgMXMGLodzA+EK
leavc9ybOnOEA5TKnSVwSUH4dei431dgtXNUzVyS8hQ5B5g/eIe6Z3i2quvQ7v3+q/Qn07153hpY
tRhk98+Y2MtL4d1DjotRiQt4fi6v6zK/j9Cb13ylk23iE3YaHqPgM8Ga2PXna53QwH8yAw38ZmjW
EOED6Pkvu1LaxmZnKgvv6+xVyAJcD2nlshNlL1JewxS2Pmfh6jcEjYH5WEz7hrFskc6FKULdDQph
OhsRJa+JPc+R+Wfvo+4SUyLUgdScCYHfTvz056//Yqk8YGESW6PMg1HlubTp3GFek0yB/NJnzsz3
4IAyZSGHKyXUny/1Ys9hqYRoJAPj+FOjEXtG5yWNytyaBOpLlCIJtBzjBVmFR2eFReJSpCfTq1vu
vIXi8GAQ1oXrD2rqviAQd632wgT8/guuaCZG9cx2r2+HjMh+n7jMtS67OCLfJ5lY+Pl76QZ294Zo
V8lXuMzny0zXVKJ+ZLqqvG4IAv2++TEHmscpSrzPYBKUjkxogVKFNZzT12yqz1fZZVCEu/WYbQjo
IJ2D1wWJYeg5ufMZS5iguO1VaUrzLKdSOyLPabLGPz/WM32nwIgrATvT5JV0+ICPfr+1Pg9XgsnS
fe5q+kTpvvNiE+YIigvPNe7aklHJNGMqDS/7QjKJuv/zFziNbPz6BpJqQWS14SxiDMatn0cWkaSl
o4L6M0ohS1Lv6WWtxR7UI43yi+e0ZexSkxqj1Wbi909Q3GLwg/Ki8vuac2F6Xpwqh6sCXiWthbe4
YcqHamEtISB55BETAge70OutcNpkTtETrYNJmsMSBfsGw/U0tnnxmaemh57v+mAAPHKmbkYVdyyA
6PYhybzbX2a0ljHsaArL5FZ6hKW1MGqMCAMwMrROnpmvMnIblFLNEa/Q2eFrBc8AvSa1J2pCfjdJ
Ux4yU8bx6jomWY7zCrf5jQ15ifUPk7wDmXTHGdrTdVoXwLJ/Xv4XG45RDmzaUGGOoN+92NoDlUVq
MXr9qUlbj5w1Ub0pgSLssQm9PyHrP1/SvC2/PXBCbXTq0TCbhOqT6Rz90hqlUYaGtQ6nT1HiG4xx
yCK/uGWyyy2sO1vbfAPDDBwoomaIQzwIWNjm2/z5a5zfOURwuPPMBUbcNo33s0O0RpN04lmmnwp8
UqqrrOr66oNbTG534+r+lRGp8wjikZwZSTHhM2zGtMnZJvfxOMxSpfXnsWWS91HmgdkW8H1NZvXn
+3LPXmk+Hd0y1MSY0uFc8OyzG0um2S7LenQ/1Mz1hrsY+LJPDgzVZFS6WT5xOmxoeFf8LwCwYV/O
ZliaYk0yZY50L0n6NSWP6d+rySvJQ51VmEQ9S6hQEJblrYBMnhpYa7YMDBD2TL2nl2PoG5i4qOiO
PIyMoHBzViE5i5IEJjdhZUTFiKrKQUGuvbQs4mh5gKWaiFfsos/WmzWIiCs276lA3/FFx1RC048q
n0HUocrNyRw3tCoKDNUbKuc/r7cxO/x1P5tnSvDyIVz4HIsvBiKmRoGpOiJ+CEVzutYggU4LzCzN
0USoJwQ9995LSDqsQj3XBiX9+VM3DgYhsCabxZUiMHgmtaAi0rkVEkPTpVXkg7XeaF5VJGszVRXT
BSItFEz7oo4pjzMENChLfjb+6BaZJpKFdAnvzhra2AcexgYjHw+hhpyrWKfuePAMTcCbMxivJVPz
JHOHrGXaIK9qnnvfZQZY/tlC441k7+b0PDj3YuxL+MDFqSYgkD8vafj74wuCAPEqF5dvJjA5C19o
lbXcwRhibPKtHL3gY95BRD+4tEePfhEqAcaPNzLc++h6CbMy3ikR18fKLcpHJOth4NbhUNM0RbM4
shYUhVGTbT/E1K8aMq4e020aju4xi/J3Fa22b4ZZy3xCh2LFll6O/2aUcXOdMgF8y4mUrkaTBvVp
S+feXyt95PEqxuJPovgR2QItKFk8WqvVUxyUM+5iOureCk4llIdQyLgNlm7c9Wpp9/TEy8eUHj5z
6S5dglyhAskhMtHC653yM6wJec0kipErWFvbgYbYBQ8u5/MXlTaOxI7LT4EwEq0vXKwnHhBEGh4z
z0vhQdmWqHcWuN2nYmDmorRU994XWpMWxcMxn4f8QJtgMV7bNJe38xTBhB1ENV7Bp9z3UwQrO0zz
/K+BIUBQ83godug0NA9rPgCJCceCDWxZYmv79jvRL/ZXd+n1ZyjX2OEOctims19dF4HO9iJbstdG
eH57x9gQtJUJZpJUwczqntNpGuCfoJVJ/cTzQtPEZUZjjzwy1g5+Z/sfXtl+/+JiiBFCyHIjcrjz
jCReBaldF9VPjKBWcIRm+8GpwVc3VVXcjsIbqP+SpnpHizAoXsnHXuz8023C1aFlQxA/54ENUuPq
Ibrqqa1rCldGuRjHqDwH4tufb/L0Sf88hk9LylQe/BxUYc1k3NkxMbtII49wZZ4cRLFH8g+Oi01D
wZPtkPUK7mu3is04l6XwNpaRYpBQZSjs/1/2zqxJbSSJ41/FMe8Quo+HnQegD9vd7ft8IeRuWgh0
gA5AfPr9lSRspL5sl2NGsbG18zA70IWqlJWZlZn/fwY0M93BoLOAGCO3XqVW6r6IB2v7A/YW3ABx
xZw+zDgvWh5HENjkqvEGBGR8G9GS6iImPPtmo5XaJ3fBPXWkJqqyGvtL/5UOpGkOk31kEb1Zkouj
5QWBtdQtbxaJn5NKKNJT1TcVT6FEeLzn/T3hC3WQk2yJcANwg9gXoJNa1yVQB3a2M5xyf2MUYvPn
gT4/05NFeL7b77xYdcMv+sDdTQrNJ+mxBjh6bsDRHk8efzOm2PnWm7FFsSbtZTRQEZjxjoOkLqcR
6YO5feMXJA4Ip6XL0c6B7HSSkSXJJxuDLrJ2lEODQzfJiGxPEp0nxK0uIarb5KPQ9gev9qpvnOt7
urzSVNb9SmNBGPLS5eAyoBHURamXZ7Ee6e+JgYavkgEvbWSRGKMzfL4j7bJIsunYXrn2W9zGTXJK
97zb0loEV7oNcQUIFPM88JPVq8jMwxz+lqz4Vobz4gMIxeWbQexgIKyduj3VtXxbjHTq3d9vQ5fu
ZPM1LFR0iVAhDs99UgD2Yr0gEYJNfGeYA+cimJfGJ5Wo9nRE0sHcPSH27bIkXjF7axBdsDFS1Ml2
obgFIWHeuz2FWMgwrwaQGX6kK1UJF8Q6Vq7ULXeJJ35RbRe+Vj+Jb8AVR9VgAqFcjdd95O/CJxSm
EaZzBobHeEHYjLaN06IcvCRQuTglEZGj6WFFvFkBe/4Y+Lv8Ighc5c1g4+qnj4tWBXRsixauJuqz
asVkqd1iwHQbmZnjx/HM35Fg4N6eTL8m6X6+maxFg9C1oi2JcEQJUDFIU+blhHan5vmcctgJcRLX
hSFtANNwmlj254AeliL0Swg9HmTzy6UVZOc0gthdWcUcDAptwo0RwBttO8rAeVUNzCM6sapOMnZg
hVmdDdiW08UyH1y6lio6nG/twUWFXiyBQ9EpAd6bU3+L9R4narC8iEjz4lHqIO5H4TqMKSmh1e7J
hqTnR3PD1RRfJHuX0xjj+TwK9RSOH8plkETSRWOLqN9r3Q1iUq5U1NFzeEdeKaffhT+Gn2R1uaXl
JViFYGVRV+toifpcwLzSMwWyk09Q1gefCxpu3BoBsGqwCovpU4Gvu/qHpp7g/vHdoayAXrSjknWN
TCitMpYzaLQVwDJbd/GNKo+SrCGvjDuVfbPPiulzKx58KzcL2tKV1mYV/YbAQhGB26xTuQrHeUdg
qZTKogzE32waWWUxqV6ItS/mIf1LrRz47MZ9v07j4hR02/Rk5U53X+ZOulkhJ+CUHpfYToCuOj2O
IWLLqA5qLbsVu7QG3m4S+Kxmvq1Y79aWmr2FvHQwsQnsvsQuFldFuM5frCAleE5nLPUyj20MmR3m
u9cBpKQUJMfbzUUwKPRbKufX5siBU+zdE0/ZvgOIp7SodzU54tRMc6nsbBkEr2Xkro1iRtR77X/A
szDpgqwBCC3ghrvSrM2SnFK2t5yJk5rJ7Ry+HqBqU221PdPtJPtouqF/odjb5QctNQoyJFiB03SR
hmy3v7DHxpp0b/2i/4+zeF+uZv/5y7uJaDkEACYNrvNj1ATFtJysh3EWh795ltw+GydhEX0LWqiL
+u8b1IVNcwGq8eCIcSydSJpGnOHQEc8ewmLhuBQpc5g4zhijpiOe7gyhpKEOHT76qn8YHzWwCz5y
BBiADwnLaJpl/QrsQtVazgS17tR8AtMXrBOUZRMOaFufEkYq9PhOOac6bRz5tyG+wa6cPl84EG5v
uTYFygugwCfutPisLiHw07Mn/Bm3fTjqR4AuQNUJ+xg0fescjsTkQuE49C5LaG1yNTU+l+4Kuubl
SRzBHqXhXwJEm7grGuwa4fRytfLp76EZ8clW+2JsqLWZT3Ab/UtlPxjR3e80dylTstWr9VywD5sb
UUY6GWyAKyqra3D+fAnMe4wzufy6oNuX+NeSDkHcSz5kezJ89OjOBiel6Z5DcbbG7iytC5CbcQl4
NE8KGkBnuj5RlsW41OOPpUP9HzJxvrMcCk79kaHpL/1iaxOX3XMV4u7ohPSfdQB/mQvqUXI9O8mW
F8ageBPO4+JkF4tWrW7+xnK/qPqA3nq2t6dK7SRaqCNaLY4NyyaT6oLLmgNkDicwuo3TYvl2N5i+
X6y36ckyi07gv/sK6Fo5o4n0az+zXy7U+Nveh01vsRyvrW14RqrRGW1zEOl6HF9HO0M5W1JOPCqV
7XVs+BMfdNlFnG1NWKhX45WV8WP702Cpv/KjhV9fZP5nlEuzkImXeydV78w3xSwt384yXN3s0IJS
fFrhY94nv/elxydqkFxPqCtIgBy9o6+qh6qe+LE5QvI+eXGDLtSVIQTTCiWykNBU469nYUITtvrj
gasOyevgF6N6qmFUP3i0SQ9tw+MrrPfz8e88toJjqJsivQn0GqX6llQSIdPj1QsCMQMlzeWvXj2p
KMzDP7/666SIcyGFcEq2CM80kTZpWawHJKAzw5EEuENTJFmEL1UNdvN4D1ya3pBt5VaEWRKjdxJA
XFHDTP7MLnRMf2sX8Gzx1jSCimJgLo93QVXVIbwEiAhm99+Rgc6z/zgBJpEa2eXbQ800LJwR3AIx
uKu2l+8OYUkQd49GT/RtEwjOCP9BSggMg07FlmqQcaxFvaMO0JNDjVwvCdHeHQLayPPOpJavG+h6
Akv4hPXy2c9jIYAzkXggBEfwoVUDj5Yf/Oe14YMngRiwK20M6ORFQaZhNYqgexRcG31J9QlFwvUu
/Vs24cFdgByvfjM1+vW7r/IrboExrMLcRJvvPwlCHVok0yDOrEShlr0eiQI1EvK7oA7rvCyJ4MMq
WwfCHVKLQS6AMF41agXUo12gqZq0ZRQ3Upo2QtV37yaoimh9B/WbVZ+8Hq0eBIe0ThQt/0ibQ839
/bQfi4BtIiIOhWY0HahG73QiakraLqpDUyTaSGffKwKwSNj06q5jHP2yCDyxaDIvZRdxCxTSfvyv
4xqzbgvXk/Q+AQwxevfyUVwiSym1fM0ZmqTb4eeoFymczeMj4OAWOGDDuYzW0tE7PUABpKhfk9oF
nXdNfsgRNZXV6HjIjg6TCncog4B0NXq3C7A93OmZ+sBlseNa/LgmGfZQwDupCnvAQ9aUIWWZJCoo
MRKjd36BSJ/i1kvJgqGhEHAQRTq2Gh294Oq4iMRUVPhsqtG7K6NKgXMtoL/vI6IWSQMpBFwbxdC5
LqiqMbQEWTUZmmrDe+QZkLsSqRg5KVCGFDyL0EjjI3f1ojvkZyyO3Q/XgR/s1y44stZBh1uK9w9J
1A+917IO1hDHAG1BEK0a/ZMFeNKl3UQHGyiolQSFtBgd6+A6nBXCaATaaiNaq6A+yQKJqm7y65et
gwlnmLgWHq3yWBYsdwiNFfkuyviq0b8oijBdknpBJ0CgCbo1KsWq0dGLjsmJIDGsk22sRu9OBBlB
S/ZEGPoQoA5XIzKc9Wh7jfhkeAqkHrg79s06EONzpX0EfQheA5/5cGfq+Ajw6xFmhGlMaSKutSLu
kUYANSTtKYl0NocBfdB++yTHbWoi3O9JhR56y9j1P6AJAMW5IKTu1QS2M6Q+QDEFUX81ercLNGkw
pP1EbUjmgOwSol6Njj7kJECXRpatkbY+HQFQgLLxM9xkR5Rv0fTh3uVjDsCPUU8s3CgxendZ0Eit
yLqJhoVrUNUTN25i10EyhtS06kQr+qcHaZYku3yiB+AWBIytfsd3Yiik1+CmE+1Qap+gh0JAwZKk
PiR6wDGHYJMoSTU6NhFYB0EWUwWh0zvPEHpQ6UOANcQUcFFqgiPdJLNIsOEX0qGnUQX98wxxa6Wl
AM+HRLJIttdSwOE6viVQcIBbSIHbwXPq31lAT9Wv5vejJ9ybQYQZ3JXut4rg6lEJJkaRtmJi1A55
n4wjsFBpL5kYio5fQDuqe2XBJoSE0gTL3ujN3ukF6hcFSk0uksQqySBQhtnIQsdbdlxcBI0YPMQO
1eidn0j5qKhvldoF3aTYiiuz0gh8VztSjCU4kUUZSr0LPTwRlsCNSO2CiLCTdIa6sskpdWSBc0LG
UUDQDkei+sF+6QXpnBOlKFD0YgmNxkbc8RSsIcX0qA6nh1JAjEtWCjSiJy6dQQ9R0876STvjLYK7
PdRn9NBGgtGX3AU0AgBz+rMdbCTm5thTsImwQwwB7rSRkv7tAiXfsvFEgwNP0RVe8/2eAvlXPoGU
HdLzfloH6Km12mT9vr/ELjguBYrN9fFOhN22h/Dpg6k42qV+ZVs0UWMseSIMYiVAzGh22/hDd2Mp
9BUAG0ppVjX65ykQTJA9ETqxZWiuBIn7d4k/1guOkBUS8RTt1rvQO71Ar0np/CO3SWrWScUTR61G
RzuyC0Br4Gaiv0s/9QKpAVFxL+cvYSmJmQlgdr3Kzm2SmyR5BpWLltKoz+oHf8pf+okvfUeEjOdB
eFNhQYJZdh9k5KEvHDAQdz9v8A+in48o8299UUBD6t+u68DF//+7VbZRJZqPPjwknqvfaf68WeDd
n2791mFVh/94HsxSL72ew3UIjKRsHvPKi8CT0Iromxd5x6g6pA8t9ONJ7gDwvr//Jya+v8dR9Qz3
ImV+bt40ACTbfuCqflb6gdMlxOFedlh61ZapKtKWnXnshcFtksZt8GGNApCeOwmT1LtJjp+6LiKV
nxko8nUeXBd5a/KqPFF28sks9LZeOjueua7+lJ65wYk+gfmUlMJTdj24aUthXbon+/xnsyT125LS
lMPJznzOjgfB8Y5DxCpIu2Qnfn7jzVsC2FQrSc8bhkGcBO0TWRcCSU8d3wReR4tAiYktkp452bbF
oq5fk5325V3dVJfBSE/MBMX1sjysvFJ7dVWF7NQXSRFkd7a5BkHKzn3pBXFLe5CNEvUw8vPSktKL
bw4zVca8TqzLT51l3jV9Nmd53pLpJmkrPX9wDX+j14Yb1glR+amxBVmStyS7STPKz51lAf+sVi3d
RP5GBBT/xOxJkXanFqkh6amTOO/oEE2wBMjPfDX7lnY7RILoFZkc2Ye+mm28tt0i4CGSI/ITb5+d
e9Eqmwdts94U5/yJ+V/M0mxWHp61Opp1TuNPTH452wXXLTMGgZQIjP6Jyb8k6fIwU/PcIuYoPXWS
5vNnYy9NsJTtwwku8o/9wMRbds8+F2JiI7LP/2oetHe8Dr9JT7sM8Ujat5oGaig9dTrzu4juqvhO
duLXszjOynDjda4JTSxOdvq38+Rm9ux5dse21UEu2enfJcUDgihwvn/ALtc/cFcQGxix7PO/Z/dn
cCi2XIomSSY/9659q2ygjrLzfsi9+eEICp3SwOplp/04SyMsW2vmGpQlPXPAzaYj3jBBiiCr7NSf
POwOLeLaR7NB0EhPPsvyZx/ve/g6Kig9f5BdJ7S0aXluTZ5aeu4ygTzJP+xwJSd1FO/xme+LNH3H
QtyNPx3oQe77s3ZwTXzjOpx56d//BQAA//8=</cx:binary>
              </cx:geoCache>
            </cx:geography>
          </cx:layoutPr>
          <cx:valueColors>
            <cx:minColor>
              <a:schemeClr val="accent4"/>
            </cx:minColor>
            <cx:midColor>
              <a:schemeClr val="bg1"/>
            </cx:midColor>
          </cx:valueColors>
          <cx:valueColorPositions count="3">
            <cx:minPosition>
              <cx:percent val="0"/>
            </cx:minPosition>
            <cx:midPosition>
              <cx:number val="11.485000000000001"/>
            </cx:midPosition>
          </cx:valueColorPositions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Spin" dx="31" fmlaLink="$A$1" max="10" min="1" page="10" val="9"/>
</file>

<file path=xl/ctrlProps/ctrlProp2.xml><?xml version="1.0" encoding="utf-8"?>
<formControlPr xmlns="http://schemas.microsoft.com/office/spreadsheetml/2009/9/main" objectType="Radio" checked="Checked" firstButton="1" fmlaLink="$A$2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369207</xdr:colOff>
      <xdr:row>1</xdr:row>
      <xdr:rowOff>134257</xdr:rowOff>
    </xdr:from>
    <xdr:to>
      <xdr:col>11</xdr:col>
      <xdr:colOff>0</xdr:colOff>
      <xdr:row>4</xdr:row>
      <xdr:rowOff>77107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AE1C4-C3D2-FA23-ACBD-E20024B829DE}"/>
            </a:ext>
          </a:extLst>
        </xdr:cNvPr>
        <xdr:cNvSpPr txBox="1"/>
      </xdr:nvSpPr>
      <xdr:spPr>
        <a:xfrm>
          <a:off x="369207" y="324757"/>
          <a:ext cx="13295993" cy="5143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</a:rPr>
            <a:t>What Do </a:t>
          </a:r>
          <a:r>
            <a:rPr lang="en-US" sz="2800" b="1">
              <a:solidFill>
                <a:schemeClr val="accent1"/>
              </a:solidFill>
            </a:rPr>
            <a:t>Wage</a:t>
          </a:r>
          <a:r>
            <a:rPr lang="en-US" sz="2800" b="1">
              <a:solidFill>
                <a:schemeClr val="tx1">
                  <a:lumMod val="85000"/>
                  <a:lumOff val="15000"/>
                </a:schemeClr>
              </a:solidFill>
            </a:rPr>
            <a:t> and</a:t>
          </a:r>
          <a:r>
            <a:rPr lang="en-US" sz="2800" b="1" baseline="0">
              <a:solidFill>
                <a:schemeClr val="tx1">
                  <a:lumMod val="85000"/>
                  <a:lumOff val="15000"/>
                </a:schemeClr>
              </a:solidFill>
            </a:rPr>
            <a:t> </a:t>
          </a:r>
          <a:r>
            <a:rPr lang="en-US" sz="2800" b="1" baseline="0">
              <a:solidFill>
                <a:schemeClr val="accent2"/>
              </a:solidFill>
            </a:rPr>
            <a:t>Employement</a:t>
          </a:r>
          <a:r>
            <a:rPr lang="en-US" sz="2800" b="1" baseline="0">
              <a:solidFill>
                <a:schemeClr val="tx1">
                  <a:lumMod val="85000"/>
                  <a:lumOff val="15000"/>
                </a:schemeClr>
              </a:solidFill>
            </a:rPr>
            <a:t> Figures Look Like By Industry</a:t>
          </a:r>
          <a:endParaRPr lang="en-US" sz="2800" b="1">
            <a:solidFill>
              <a:schemeClr val="tx1">
                <a:lumMod val="85000"/>
                <a:lumOff val="15000"/>
              </a:schemeClr>
            </a:solidFill>
          </a:endParaRPr>
        </a:p>
      </xdr:txBody>
    </xdr:sp>
    <xdr:clientData/>
  </xdr:twoCellAnchor>
  <xdr:twoCellAnchor>
    <xdr:from>
      <xdr:col>1</xdr:col>
      <xdr:colOff>0</xdr:colOff>
      <xdr:row>8</xdr:row>
      <xdr:rowOff>38100</xdr:rowOff>
    </xdr:from>
    <xdr:to>
      <xdr:col>1</xdr:col>
      <xdr:colOff>2882900</xdr:colOff>
      <xdr:row>10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9A01E95-ABF3-CA51-1D1C-764E6E50FA1A}"/>
            </a:ext>
          </a:extLst>
        </xdr:cNvPr>
        <xdr:cNvSpPr txBox="1"/>
      </xdr:nvSpPr>
      <xdr:spPr>
        <a:xfrm>
          <a:off x="609600" y="1765300"/>
          <a:ext cx="2882900" cy="419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Average Annual </a:t>
          </a:r>
          <a:r>
            <a:rPr lang="en-US" sz="1800" b="1">
              <a:solidFill>
                <a:schemeClr val="accent1"/>
              </a:solidFill>
              <a:latin typeface="+mn-lt"/>
              <a:ea typeface="+mn-ea"/>
              <a:cs typeface="+mn-cs"/>
            </a:rPr>
            <a:t>Wage</a:t>
          </a:r>
        </a:p>
      </xdr:txBody>
    </xdr:sp>
    <xdr:clientData/>
  </xdr:twoCellAnchor>
  <xdr:twoCellAnchor>
    <xdr:from>
      <xdr:col>2</xdr:col>
      <xdr:colOff>482599</xdr:colOff>
      <xdr:row>8</xdr:row>
      <xdr:rowOff>25400</xdr:rowOff>
    </xdr:from>
    <xdr:to>
      <xdr:col>3</xdr:col>
      <xdr:colOff>2580216</xdr:colOff>
      <xdr:row>10</xdr:row>
      <xdr:rowOff>63500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4D4655A-DB54-4BF6-BD77-AB4EC0653411}"/>
            </a:ext>
          </a:extLst>
        </xdr:cNvPr>
        <xdr:cNvSpPr txBox="1"/>
      </xdr:nvSpPr>
      <xdr:spPr>
        <a:xfrm>
          <a:off x="4133849" y="1676400"/>
          <a:ext cx="2711450" cy="3979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Share of </a:t>
          </a:r>
          <a:r>
            <a:rPr lang="en-US" sz="1800" b="1">
              <a:solidFill>
                <a:schemeClr val="accent2"/>
              </a:solidFill>
              <a:latin typeface="+mn-lt"/>
              <a:ea typeface="+mn-ea"/>
              <a:cs typeface="+mn-cs"/>
            </a:rPr>
            <a:t>Employees</a:t>
          </a:r>
        </a:p>
      </xdr:txBody>
    </xdr:sp>
    <xdr:clientData/>
  </xdr:twoCellAnchor>
  <xdr:twoCellAnchor>
    <xdr:from>
      <xdr:col>2</xdr:col>
      <xdr:colOff>584200</xdr:colOff>
      <xdr:row>17</xdr:row>
      <xdr:rowOff>165100</xdr:rowOff>
    </xdr:from>
    <xdr:to>
      <xdr:col>3</xdr:col>
      <xdr:colOff>2908300</xdr:colOff>
      <xdr:row>20</xdr:row>
      <xdr:rowOff>88900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3F512BA-68C2-444D-B72C-E82E02D5D411}"/>
            </a:ext>
          </a:extLst>
        </xdr:cNvPr>
        <xdr:cNvSpPr txBox="1"/>
      </xdr:nvSpPr>
      <xdr:spPr>
        <a:xfrm>
          <a:off x="4241800" y="3606800"/>
          <a:ext cx="2933700" cy="4953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>
              <a:solidFill>
                <a:schemeClr val="accent1"/>
              </a:solidFill>
              <a:latin typeface="+mn-lt"/>
              <a:ea typeface="+mn-ea"/>
              <a:cs typeface="+mn-cs"/>
            </a:rPr>
            <a:t>Wage</a:t>
          </a:r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 &amp; </a:t>
          </a:r>
          <a:r>
            <a:rPr lang="en-US" sz="1800" b="1">
              <a:solidFill>
                <a:schemeClr val="accent2"/>
              </a:solidFill>
              <a:latin typeface="+mn-lt"/>
              <a:ea typeface="+mn-ea"/>
              <a:cs typeface="+mn-cs"/>
            </a:rPr>
            <a:t>Employee</a:t>
          </a:r>
          <a:r>
            <a:rPr lang="en-US" sz="1800" b="1">
              <a:solidFill>
                <a:schemeClr val="dk1"/>
              </a:solidFill>
              <a:latin typeface="+mn-lt"/>
              <a:ea typeface="+mn-ea"/>
              <a:cs typeface="+mn-cs"/>
            </a:rPr>
            <a:t> Trends</a:t>
          </a:r>
        </a:p>
      </xdr:txBody>
    </xdr:sp>
    <xdr:clientData/>
  </xdr:twoCellAnchor>
  <xdr:twoCellAnchor editAs="absolute">
    <xdr:from>
      <xdr:col>0</xdr:col>
      <xdr:colOff>495300</xdr:colOff>
      <xdr:row>10</xdr:row>
      <xdr:rowOff>173568</xdr:rowOff>
    </xdr:from>
    <xdr:to>
      <xdr:col>2</xdr:col>
      <xdr:colOff>215900</xdr:colOff>
      <xdr:row>33</xdr:row>
      <xdr:rowOff>97367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14B8AF4-FB86-44BE-99EF-D6958449B3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</xdr:col>
      <xdr:colOff>444500</xdr:colOff>
      <xdr:row>10</xdr:row>
      <xdr:rowOff>61385</xdr:rowOff>
    </xdr:from>
    <xdr:to>
      <xdr:col>3</xdr:col>
      <xdr:colOff>2616200</xdr:colOff>
      <xdr:row>18</xdr:row>
      <xdr:rowOff>110066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A16D6B3-8437-480A-A023-91DD17C04A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3</xdr:col>
      <xdr:colOff>38100</xdr:colOff>
      <xdr:row>21</xdr:row>
      <xdr:rowOff>110068</xdr:rowOff>
    </xdr:from>
    <xdr:to>
      <xdr:col>3</xdr:col>
      <xdr:colOff>2857500</xdr:colOff>
      <xdr:row>27</xdr:row>
      <xdr:rowOff>160866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5E354CEC-358C-4A80-8B03-4E93DA431C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2</xdr:col>
      <xdr:colOff>433842</xdr:colOff>
      <xdr:row>27</xdr:row>
      <xdr:rowOff>176083</xdr:rowOff>
    </xdr:from>
    <xdr:to>
      <xdr:col>3</xdr:col>
      <xdr:colOff>2686738</xdr:colOff>
      <xdr:row>34</xdr:row>
      <xdr:rowOff>23308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115A49-A637-40D8-8E97-1FA47165FC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3423952</xdr:colOff>
      <xdr:row>10</xdr:row>
      <xdr:rowOff>101600</xdr:rowOff>
    </xdr:from>
    <xdr:to>
      <xdr:col>11</xdr:col>
      <xdr:colOff>33052</xdr:colOff>
      <xdr:row>33</xdr:row>
      <xdr:rowOff>25400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6" name="Chart 15">
              <a:extLst>
                <a:ext uri="{FF2B5EF4-FFF2-40B4-BE49-F238E27FC236}">
                  <a16:creationId xmlns:a16="http://schemas.microsoft.com/office/drawing/2014/main" id="{B909622D-F4BE-4785-9394-C9E0A6FAB5E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2988" y="2144311"/>
              <a:ext cx="6011691" cy="41469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1866900</xdr:colOff>
      <xdr:row>11</xdr:row>
      <xdr:rowOff>0</xdr:rowOff>
    </xdr:from>
    <xdr:to>
      <xdr:col>3</xdr:col>
      <xdr:colOff>3213100</xdr:colOff>
      <xdr:row>16</xdr:row>
      <xdr:rowOff>88900</xdr:rowOff>
    </xdr:to>
    <xdr:sp macro="" textlink="'Data Prep'!I20">
      <xdr:nvSpPr>
        <xdr:cNvPr id="17" name="TextBox 16">
          <a:extLst>
            <a:ext uri="{FF2B5EF4-FFF2-40B4-BE49-F238E27FC236}">
              <a16:creationId xmlns:a16="http://schemas.microsoft.com/office/drawing/2014/main" id="{585100AF-A401-4A92-9473-F066137FEF00}"/>
            </a:ext>
          </a:extLst>
        </xdr:cNvPr>
        <xdr:cNvSpPr txBox="1"/>
      </xdr:nvSpPr>
      <xdr:spPr>
        <a:xfrm>
          <a:off x="6134100" y="2374900"/>
          <a:ext cx="1346200" cy="1041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A41F729F-5C12-479F-9143-2ED1B9BFFD5D}" type="TxLink">
            <a:rPr lang="en-US" sz="4400" b="1" i="0" u="none" strike="noStrike">
              <a:solidFill>
                <a:schemeClr val="accent2"/>
              </a:solidFill>
              <a:latin typeface="Calibri"/>
              <a:ea typeface="Calibri"/>
              <a:cs typeface="Calibri"/>
            </a:rPr>
            <a:t>7%</a:t>
          </a:fld>
          <a:endParaRPr lang="en-US" sz="4400" b="1">
            <a:solidFill>
              <a:schemeClr val="accent2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3036957</xdr:colOff>
          <xdr:row>5</xdr:row>
          <xdr:rowOff>12148</xdr:rowOff>
        </xdr:from>
        <xdr:to>
          <xdr:col>2</xdr:col>
          <xdr:colOff>574997</xdr:colOff>
          <xdr:row>6</xdr:row>
          <xdr:rowOff>10032</xdr:rowOff>
        </xdr:to>
        <xdr:sp macro="" textlink="">
          <xdr:nvSpPr>
            <xdr:cNvPr id="3088" name="Spinner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00000000-0008-0000-0200-00001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124882</xdr:colOff>
          <xdr:row>7</xdr:row>
          <xdr:rowOff>116416</xdr:rowOff>
        </xdr:from>
        <xdr:to>
          <xdr:col>7</xdr:col>
          <xdr:colOff>529167</xdr:colOff>
          <xdr:row>10</xdr:row>
          <xdr:rowOff>10583</xdr:rowOff>
        </xdr:to>
        <xdr:sp macro="" textlink="">
          <xdr:nvSpPr>
            <xdr:cNvPr id="3091" name="Option Button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0000000-0008-0000-0200-00001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Average Wages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7</xdr:row>
          <xdr:rowOff>116417</xdr:rowOff>
        </xdr:from>
        <xdr:to>
          <xdr:col>10</xdr:col>
          <xdr:colOff>148167</xdr:colOff>
          <xdr:row>10</xdr:row>
          <xdr:rowOff>10584</xdr:rowOff>
        </xdr:to>
        <xdr:sp macro="" textlink="">
          <xdr:nvSpPr>
            <xdr:cNvPr id="3092" name="Option Button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8E8FDB44-38C2-2DBC-AE7A-C37DBD0D5D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CC" mc:Ignorable="a14" a14:legacySpreadsheetColorIndex="26"/>
                  </a:solidFill>
                </a14:hiddenFill>
              </a:ext>
              <a:ext uri="{91240B29-F687-4F45-9708-019B960494DF}">
                <a14:hiddenLine w="9525" cap="flat" cmpd="sng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Employees per 1000 Capita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316197</xdr:colOff>
      <xdr:row>7</xdr:row>
      <xdr:rowOff>68857</xdr:rowOff>
    </xdr:from>
    <xdr:to>
      <xdr:col>6</xdr:col>
      <xdr:colOff>542682</xdr:colOff>
      <xdr:row>10</xdr:row>
      <xdr:rowOff>61207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409D512-F99A-935E-5641-DC78F5707114}"/>
            </a:ext>
          </a:extLst>
        </xdr:cNvPr>
        <xdr:cNvSpPr txBox="1"/>
      </xdr:nvSpPr>
      <xdr:spPr>
        <a:xfrm>
          <a:off x="8877221" y="1560724"/>
          <a:ext cx="838533" cy="5431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>
              <a:solidFill>
                <a:schemeClr val="accent1"/>
              </a:solidFill>
              <a:latin typeface="+mn-lt"/>
              <a:ea typeface="+mn-ea"/>
              <a:cs typeface="+mn-cs"/>
            </a:rPr>
            <a:t>Wages</a:t>
          </a:r>
        </a:p>
      </xdr:txBody>
    </xdr:sp>
    <xdr:clientData/>
  </xdr:twoCellAnchor>
  <xdr:twoCellAnchor>
    <xdr:from>
      <xdr:col>8</xdr:col>
      <xdr:colOff>1128182</xdr:colOff>
      <xdr:row>8</xdr:row>
      <xdr:rowOff>4234</xdr:rowOff>
    </xdr:from>
    <xdr:to>
      <xdr:col>9</xdr:col>
      <xdr:colOff>508000</xdr:colOff>
      <xdr:row>9</xdr:row>
      <xdr:rowOff>148166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7230DD2-AAFB-DEC1-D30F-2872A19D7046}"/>
            </a:ext>
          </a:extLst>
        </xdr:cNvPr>
        <xdr:cNvSpPr txBox="1"/>
      </xdr:nvSpPr>
      <xdr:spPr>
        <a:xfrm>
          <a:off x="11531599" y="1655234"/>
          <a:ext cx="1443568" cy="32384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800" b="1">
              <a:solidFill>
                <a:schemeClr val="accent2"/>
              </a:solidFill>
              <a:latin typeface="+mn-lt"/>
              <a:ea typeface="+mn-ea"/>
              <a:cs typeface="+mn-cs"/>
            </a:rPr>
            <a:t>Employees</a:t>
          </a:r>
        </a:p>
      </xdr:txBody>
    </xdr:sp>
    <xdr:clientData/>
  </xdr:twoCellAnchor>
  <xdr:twoCellAnchor editAs="oneCell">
    <xdr:from>
      <xdr:col>8</xdr:col>
      <xdr:colOff>595431</xdr:colOff>
      <xdr:row>1</xdr:row>
      <xdr:rowOff>174854</xdr:rowOff>
    </xdr:from>
    <xdr:to>
      <xdr:col>10</xdr:col>
      <xdr:colOff>502813</xdr:colOff>
      <xdr:row>6</xdr:row>
      <xdr:rowOff>36811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6683DF5-3226-3D63-DBB5-6F690F0FA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7098" y="358912"/>
          <a:ext cx="2576222" cy="99391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0.625</cdr:x>
      <cdr:y>0.16667</cdr:y>
    </cdr:from>
    <cdr:to>
      <cdr:x>1</cdr:x>
      <cdr:y>0.9127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43D4BB-BB64-5163-D601-201116EA2F61}"/>
            </a:ext>
          </a:extLst>
        </cdr:cNvPr>
        <cdr:cNvSpPr txBox="1"/>
      </cdr:nvSpPr>
      <cdr:spPr>
        <a:xfrm xmlns:a="http://schemas.openxmlformats.org/drawingml/2006/main">
          <a:off x="2171700" y="266699"/>
          <a:ext cx="1143000" cy="1193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69999"/>
      </a:accent1>
      <a:accent2>
        <a:srgbClr val="FF5050"/>
      </a:accent2>
      <a:accent3>
        <a:srgbClr val="A5A5A5"/>
      </a:accent3>
      <a:accent4>
        <a:srgbClr val="269999"/>
      </a:accent4>
      <a:accent5>
        <a:srgbClr val="FF5050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2F2C-F2D3-4F44-815D-AF8D50250408}">
  <sheetPr codeName="Sheet1"/>
  <dimension ref="A1:F1919"/>
  <sheetViews>
    <sheetView workbookViewId="0">
      <selection activeCell="C2" sqref="C2:C1919"/>
    </sheetView>
  </sheetViews>
  <sheetFormatPr defaultRowHeight="14.5" x14ac:dyDescent="0.35"/>
  <cols>
    <col min="1" max="1" width="9.08984375" customWidth="1"/>
    <col min="2" max="2" width="21.6328125" customWidth="1"/>
    <col min="3" max="3" width="18.6328125" customWidth="1"/>
    <col min="4" max="4" width="14.54296875" customWidth="1"/>
    <col min="5" max="5" width="10.6328125" customWidth="1"/>
    <col min="6" max="6" width="16.6328125" customWidth="1"/>
    <col min="7" max="18" width="9.08984375" customWidth="1"/>
  </cols>
  <sheetData>
    <row r="1" spans="1:6" x14ac:dyDescent="0.35">
      <c r="A1" s="3" t="s">
        <v>50</v>
      </c>
      <c r="B1" s="3" t="s">
        <v>49</v>
      </c>
      <c r="C1" s="3" t="s">
        <v>0</v>
      </c>
      <c r="D1" s="3" t="s">
        <v>61</v>
      </c>
      <c r="E1" s="3" t="s">
        <v>62</v>
      </c>
      <c r="F1" s="3" t="s">
        <v>63</v>
      </c>
    </row>
    <row r="2" spans="1:6" x14ac:dyDescent="0.35">
      <c r="A2">
        <v>2020</v>
      </c>
      <c r="B2" t="s">
        <v>55</v>
      </c>
      <c r="C2" t="s">
        <v>1</v>
      </c>
      <c r="D2" s="1">
        <v>1829</v>
      </c>
      <c r="E2" s="1">
        <v>18051</v>
      </c>
      <c r="F2" s="2">
        <v>58872</v>
      </c>
    </row>
    <row r="3" spans="1:6" x14ac:dyDescent="0.35">
      <c r="A3">
        <v>2020</v>
      </c>
      <c r="B3" t="s">
        <v>55</v>
      </c>
      <c r="C3" t="s">
        <v>2</v>
      </c>
      <c r="D3" s="1">
        <v>1354</v>
      </c>
      <c r="E3" s="1">
        <v>35607</v>
      </c>
      <c r="F3" s="2">
        <v>55216</v>
      </c>
    </row>
    <row r="4" spans="1:6" x14ac:dyDescent="0.35">
      <c r="A4">
        <v>2020</v>
      </c>
      <c r="B4" t="s">
        <v>55</v>
      </c>
      <c r="C4" t="s">
        <v>3</v>
      </c>
      <c r="D4" s="1">
        <v>2565</v>
      </c>
      <c r="E4" s="1">
        <v>15961</v>
      </c>
      <c r="F4" s="2">
        <v>49909</v>
      </c>
    </row>
    <row r="5" spans="1:6" x14ac:dyDescent="0.35">
      <c r="A5">
        <v>2020</v>
      </c>
      <c r="B5" t="s">
        <v>55</v>
      </c>
      <c r="C5" t="s">
        <v>4</v>
      </c>
      <c r="D5" s="1">
        <v>17651</v>
      </c>
      <c r="E5" s="1">
        <v>425665</v>
      </c>
      <c r="F5" s="2">
        <v>42534</v>
      </c>
    </row>
    <row r="6" spans="1:6" x14ac:dyDescent="0.35">
      <c r="A6">
        <v>2020</v>
      </c>
      <c r="B6" t="s">
        <v>55</v>
      </c>
      <c r="C6" t="s">
        <v>5</v>
      </c>
      <c r="D6" s="1">
        <v>3312</v>
      </c>
      <c r="E6" s="1">
        <v>41633</v>
      </c>
      <c r="F6" s="2">
        <v>91879</v>
      </c>
    </row>
    <row r="7" spans="1:6" x14ac:dyDescent="0.35">
      <c r="A7">
        <v>2020</v>
      </c>
      <c r="B7" t="s">
        <v>55</v>
      </c>
      <c r="C7" t="s">
        <v>6</v>
      </c>
      <c r="D7">
        <v>467</v>
      </c>
      <c r="E7" s="1">
        <v>5260</v>
      </c>
      <c r="F7" s="2">
        <v>43142</v>
      </c>
    </row>
    <row r="8" spans="1:6" x14ac:dyDescent="0.35">
      <c r="A8">
        <v>2020</v>
      </c>
      <c r="B8" t="s">
        <v>55</v>
      </c>
      <c r="C8" t="s">
        <v>7</v>
      </c>
      <c r="D8">
        <v>186</v>
      </c>
      <c r="E8" s="1">
        <v>1317</v>
      </c>
      <c r="F8" s="2">
        <v>43290</v>
      </c>
    </row>
    <row r="9" spans="1:6" x14ac:dyDescent="0.35">
      <c r="A9">
        <v>2020</v>
      </c>
      <c r="B9" t="s">
        <v>55</v>
      </c>
      <c r="C9" t="s">
        <v>8</v>
      </c>
      <c r="D9" s="1">
        <v>5394</v>
      </c>
      <c r="E9" s="1">
        <v>71107</v>
      </c>
      <c r="F9" s="2">
        <v>37717</v>
      </c>
    </row>
    <row r="10" spans="1:6" x14ac:dyDescent="0.35">
      <c r="A10">
        <v>2020</v>
      </c>
      <c r="B10" t="s">
        <v>55</v>
      </c>
      <c r="C10" t="s">
        <v>9</v>
      </c>
      <c r="D10" s="1">
        <v>2794</v>
      </c>
      <c r="E10" s="1">
        <v>29309</v>
      </c>
      <c r="F10" s="2">
        <v>45978</v>
      </c>
    </row>
    <row r="11" spans="1:6" x14ac:dyDescent="0.35">
      <c r="A11">
        <v>2020</v>
      </c>
      <c r="B11" t="s">
        <v>55</v>
      </c>
      <c r="C11" t="s">
        <v>10</v>
      </c>
      <c r="D11" s="1">
        <v>2531</v>
      </c>
      <c r="E11" s="1">
        <v>27020</v>
      </c>
      <c r="F11" s="2">
        <v>42820</v>
      </c>
    </row>
    <row r="12" spans="1:6" x14ac:dyDescent="0.35">
      <c r="A12">
        <v>2020</v>
      </c>
      <c r="B12" t="s">
        <v>55</v>
      </c>
      <c r="C12" t="s">
        <v>11</v>
      </c>
      <c r="D12" s="1">
        <v>2818</v>
      </c>
      <c r="E12" s="1">
        <v>24933</v>
      </c>
      <c r="F12" s="2">
        <v>52259</v>
      </c>
    </row>
    <row r="13" spans="1:6" x14ac:dyDescent="0.35">
      <c r="A13">
        <v>2020</v>
      </c>
      <c r="B13" t="s">
        <v>55</v>
      </c>
      <c r="C13" t="s">
        <v>12</v>
      </c>
      <c r="D13" s="1">
        <v>2302</v>
      </c>
      <c r="E13" s="1">
        <v>20872</v>
      </c>
      <c r="F13" s="2">
        <v>50732</v>
      </c>
    </row>
    <row r="14" spans="1:6" x14ac:dyDescent="0.35">
      <c r="A14">
        <v>2020</v>
      </c>
      <c r="B14" t="s">
        <v>55</v>
      </c>
      <c r="C14" t="s">
        <v>13</v>
      </c>
      <c r="D14" s="1">
        <v>2911</v>
      </c>
      <c r="E14" s="1">
        <v>22868</v>
      </c>
      <c r="F14" s="2">
        <v>45588</v>
      </c>
    </row>
    <row r="15" spans="1:6" x14ac:dyDescent="0.35">
      <c r="A15">
        <v>2020</v>
      </c>
      <c r="B15" t="s">
        <v>55</v>
      </c>
      <c r="C15" t="s">
        <v>14</v>
      </c>
      <c r="D15" s="1">
        <v>2613</v>
      </c>
      <c r="E15" s="1">
        <v>18607</v>
      </c>
      <c r="F15" s="2">
        <v>47721</v>
      </c>
    </row>
    <row r="16" spans="1:6" x14ac:dyDescent="0.35">
      <c r="A16">
        <v>2020</v>
      </c>
      <c r="B16" t="s">
        <v>55</v>
      </c>
      <c r="C16" t="s">
        <v>15</v>
      </c>
      <c r="D16" s="1">
        <v>1632</v>
      </c>
      <c r="E16" s="1">
        <v>16061</v>
      </c>
      <c r="F16" s="2">
        <v>54605</v>
      </c>
    </row>
    <row r="17" spans="1:6" x14ac:dyDescent="0.35">
      <c r="A17">
        <v>2020</v>
      </c>
      <c r="B17" t="s">
        <v>55</v>
      </c>
      <c r="C17" t="s">
        <v>16</v>
      </c>
      <c r="D17" s="1">
        <v>3143</v>
      </c>
      <c r="E17" s="1">
        <v>37751</v>
      </c>
      <c r="F17" s="2">
        <v>86727</v>
      </c>
    </row>
    <row r="18" spans="1:6" x14ac:dyDescent="0.35">
      <c r="A18">
        <v>2020</v>
      </c>
      <c r="B18" t="s">
        <v>55</v>
      </c>
      <c r="C18" t="s">
        <v>17</v>
      </c>
      <c r="D18" s="1">
        <v>1581</v>
      </c>
      <c r="E18" s="1">
        <v>7787</v>
      </c>
      <c r="F18" s="2">
        <v>41422</v>
      </c>
    </row>
    <row r="19" spans="1:6" x14ac:dyDescent="0.35">
      <c r="A19">
        <v>2020</v>
      </c>
      <c r="B19" t="s">
        <v>55</v>
      </c>
      <c r="C19" t="s">
        <v>18</v>
      </c>
      <c r="D19">
        <v>720</v>
      </c>
      <c r="E19" s="1">
        <v>7112</v>
      </c>
      <c r="F19" s="2">
        <v>46887</v>
      </c>
    </row>
    <row r="20" spans="1:6" x14ac:dyDescent="0.35">
      <c r="A20">
        <v>2020</v>
      </c>
      <c r="B20" t="s">
        <v>55</v>
      </c>
      <c r="C20" t="s">
        <v>19</v>
      </c>
      <c r="D20">
        <v>999</v>
      </c>
      <c r="E20" s="1">
        <v>11134</v>
      </c>
      <c r="F20" s="2">
        <v>64628</v>
      </c>
    </row>
    <row r="21" spans="1:6" x14ac:dyDescent="0.35">
      <c r="A21">
        <v>2020</v>
      </c>
      <c r="B21" t="s">
        <v>55</v>
      </c>
      <c r="C21" t="s">
        <v>20</v>
      </c>
      <c r="D21" s="1">
        <v>3574</v>
      </c>
      <c r="E21" s="1">
        <v>34897</v>
      </c>
      <c r="F21" s="2">
        <v>43309</v>
      </c>
    </row>
    <row r="22" spans="1:6" x14ac:dyDescent="0.35">
      <c r="A22">
        <v>2020</v>
      </c>
      <c r="B22" t="s">
        <v>55</v>
      </c>
      <c r="C22" t="s">
        <v>21</v>
      </c>
      <c r="D22" s="1">
        <v>3175</v>
      </c>
      <c r="E22" s="1">
        <v>28204</v>
      </c>
      <c r="F22" s="2">
        <v>51276</v>
      </c>
    </row>
    <row r="23" spans="1:6" x14ac:dyDescent="0.35">
      <c r="A23">
        <v>2020</v>
      </c>
      <c r="B23" t="s">
        <v>55</v>
      </c>
      <c r="C23" t="s">
        <v>22</v>
      </c>
      <c r="D23" s="1">
        <v>2070</v>
      </c>
      <c r="E23" s="1">
        <v>14561</v>
      </c>
      <c r="F23" s="2">
        <v>50525</v>
      </c>
    </row>
    <row r="24" spans="1:6" x14ac:dyDescent="0.35">
      <c r="A24">
        <v>2020</v>
      </c>
      <c r="B24" t="s">
        <v>55</v>
      </c>
      <c r="C24" t="s">
        <v>23</v>
      </c>
      <c r="D24" s="1">
        <v>2123</v>
      </c>
      <c r="E24" s="1">
        <v>16963</v>
      </c>
      <c r="F24" s="2">
        <v>46677</v>
      </c>
    </row>
    <row r="25" spans="1:6" x14ac:dyDescent="0.35">
      <c r="A25">
        <v>2020</v>
      </c>
      <c r="B25" t="s">
        <v>55</v>
      </c>
      <c r="C25" t="s">
        <v>24</v>
      </c>
      <c r="D25" s="1">
        <v>1847</v>
      </c>
      <c r="E25" s="1">
        <v>12449</v>
      </c>
      <c r="F25" s="2">
        <v>65945</v>
      </c>
    </row>
    <row r="26" spans="1:6" x14ac:dyDescent="0.35">
      <c r="A26">
        <v>2020</v>
      </c>
      <c r="B26" t="s">
        <v>55</v>
      </c>
      <c r="C26" t="s">
        <v>25</v>
      </c>
      <c r="D26" s="1">
        <v>2469</v>
      </c>
      <c r="E26" s="1">
        <v>16054</v>
      </c>
      <c r="F26" s="2">
        <v>44449</v>
      </c>
    </row>
    <row r="27" spans="1:6" x14ac:dyDescent="0.35">
      <c r="A27">
        <v>2020</v>
      </c>
      <c r="B27" t="s">
        <v>55</v>
      </c>
      <c r="C27" t="s">
        <v>26</v>
      </c>
      <c r="D27">
        <v>598</v>
      </c>
      <c r="E27" s="1">
        <v>19509</v>
      </c>
      <c r="F27" s="2">
        <v>88060</v>
      </c>
    </row>
    <row r="28" spans="1:6" x14ac:dyDescent="0.35">
      <c r="A28">
        <v>2020</v>
      </c>
      <c r="B28" t="s">
        <v>55</v>
      </c>
      <c r="C28" t="s">
        <v>27</v>
      </c>
      <c r="D28">
        <v>350</v>
      </c>
      <c r="E28" s="1">
        <v>2671</v>
      </c>
      <c r="F28" s="2">
        <v>48051</v>
      </c>
    </row>
    <row r="29" spans="1:6" x14ac:dyDescent="0.35">
      <c r="A29">
        <v>2020</v>
      </c>
      <c r="B29" t="s">
        <v>55</v>
      </c>
      <c r="C29" t="s">
        <v>28</v>
      </c>
      <c r="D29">
        <v>999</v>
      </c>
      <c r="E29" s="1">
        <v>11868</v>
      </c>
      <c r="F29" s="2">
        <v>44634</v>
      </c>
    </row>
    <row r="30" spans="1:6" x14ac:dyDescent="0.35">
      <c r="A30">
        <v>2020</v>
      </c>
      <c r="B30" t="s">
        <v>55</v>
      </c>
      <c r="C30" t="s">
        <v>29</v>
      </c>
      <c r="D30" s="1">
        <v>2064</v>
      </c>
      <c r="E30" s="1">
        <v>30471</v>
      </c>
      <c r="F30" s="2">
        <v>65885</v>
      </c>
    </row>
    <row r="31" spans="1:6" x14ac:dyDescent="0.35">
      <c r="A31">
        <v>2020</v>
      </c>
      <c r="B31" t="s">
        <v>55</v>
      </c>
      <c r="C31" t="s">
        <v>30</v>
      </c>
      <c r="D31" s="1">
        <v>3335</v>
      </c>
      <c r="E31" s="1">
        <v>31214</v>
      </c>
      <c r="F31" s="2">
        <v>44384</v>
      </c>
    </row>
    <row r="32" spans="1:6" x14ac:dyDescent="0.35">
      <c r="A32">
        <v>2020</v>
      </c>
      <c r="B32" t="s">
        <v>55</v>
      </c>
      <c r="C32" t="s">
        <v>31</v>
      </c>
      <c r="D32" s="1">
        <v>3428</v>
      </c>
      <c r="E32" s="1">
        <v>29560</v>
      </c>
      <c r="F32" s="2">
        <v>42720</v>
      </c>
    </row>
    <row r="33" spans="1:6" x14ac:dyDescent="0.35">
      <c r="A33">
        <v>2020</v>
      </c>
      <c r="B33" t="s">
        <v>55</v>
      </c>
      <c r="C33" t="s">
        <v>32</v>
      </c>
      <c r="D33" s="1">
        <v>1830</v>
      </c>
      <c r="E33" s="1">
        <v>19954</v>
      </c>
      <c r="F33" s="2">
        <v>92355</v>
      </c>
    </row>
    <row r="34" spans="1:6" x14ac:dyDescent="0.35">
      <c r="A34">
        <v>2020</v>
      </c>
      <c r="B34" t="s">
        <v>55</v>
      </c>
      <c r="C34" t="s">
        <v>33</v>
      </c>
      <c r="D34" s="1">
        <v>2541</v>
      </c>
      <c r="E34" s="1">
        <v>25841</v>
      </c>
      <c r="F34" s="2">
        <v>51404</v>
      </c>
    </row>
    <row r="35" spans="1:6" x14ac:dyDescent="0.35">
      <c r="A35">
        <v>2020</v>
      </c>
      <c r="B35" t="s">
        <v>55</v>
      </c>
      <c r="C35" t="s">
        <v>34</v>
      </c>
      <c r="D35" s="1">
        <v>4355</v>
      </c>
      <c r="E35" s="1">
        <v>40722</v>
      </c>
      <c r="F35" s="2">
        <v>90660</v>
      </c>
    </row>
    <row r="36" spans="1:6" x14ac:dyDescent="0.35">
      <c r="A36">
        <v>2020</v>
      </c>
      <c r="B36" t="s">
        <v>55</v>
      </c>
      <c r="C36" t="s">
        <v>35</v>
      </c>
      <c r="D36" s="1">
        <v>4739</v>
      </c>
      <c r="E36" s="1">
        <v>54360</v>
      </c>
      <c r="F36" s="2">
        <v>40689</v>
      </c>
    </row>
    <row r="37" spans="1:6" x14ac:dyDescent="0.35">
      <c r="A37">
        <v>2020</v>
      </c>
      <c r="B37" t="s">
        <v>55</v>
      </c>
      <c r="C37" t="s">
        <v>36</v>
      </c>
      <c r="D37" s="1">
        <v>3629</v>
      </c>
      <c r="E37" s="1">
        <v>47789</v>
      </c>
      <c r="F37" s="2">
        <v>61949</v>
      </c>
    </row>
    <row r="38" spans="1:6" x14ac:dyDescent="0.35">
      <c r="A38">
        <v>2020</v>
      </c>
      <c r="B38" t="s">
        <v>55</v>
      </c>
      <c r="C38" t="s">
        <v>37</v>
      </c>
      <c r="D38">
        <v>205</v>
      </c>
      <c r="E38" s="1">
        <v>1128</v>
      </c>
      <c r="F38" s="2">
        <v>42071</v>
      </c>
    </row>
    <row r="39" spans="1:6" x14ac:dyDescent="0.35">
      <c r="A39">
        <v>2020</v>
      </c>
      <c r="B39" t="s">
        <v>55</v>
      </c>
      <c r="C39" t="s">
        <v>38</v>
      </c>
      <c r="D39" s="1">
        <v>1375</v>
      </c>
      <c r="E39" s="1">
        <v>12442</v>
      </c>
      <c r="F39" s="2">
        <v>44990</v>
      </c>
    </row>
    <row r="40" spans="1:6" x14ac:dyDescent="0.35">
      <c r="A40">
        <v>2020</v>
      </c>
      <c r="B40" t="s">
        <v>55</v>
      </c>
      <c r="C40" t="s">
        <v>39</v>
      </c>
      <c r="D40" s="1">
        <v>1099</v>
      </c>
      <c r="E40" s="1">
        <v>7137</v>
      </c>
      <c r="F40" s="2">
        <v>45582</v>
      </c>
    </row>
    <row r="41" spans="1:6" x14ac:dyDescent="0.35">
      <c r="A41">
        <v>2020</v>
      </c>
      <c r="B41" t="s">
        <v>55</v>
      </c>
      <c r="C41" t="s">
        <v>40</v>
      </c>
      <c r="D41" s="1">
        <v>1130</v>
      </c>
      <c r="E41" s="1">
        <v>11134</v>
      </c>
      <c r="F41" s="2">
        <v>48930</v>
      </c>
    </row>
    <row r="42" spans="1:6" x14ac:dyDescent="0.35">
      <c r="A42">
        <v>2020</v>
      </c>
      <c r="B42" t="s">
        <v>55</v>
      </c>
      <c r="C42" t="s">
        <v>41</v>
      </c>
      <c r="D42" s="1">
        <v>19698</v>
      </c>
      <c r="E42" s="1">
        <v>249859</v>
      </c>
      <c r="F42" s="2">
        <v>117086</v>
      </c>
    </row>
    <row r="43" spans="1:6" x14ac:dyDescent="0.35">
      <c r="A43">
        <v>2020</v>
      </c>
      <c r="B43" t="s">
        <v>55</v>
      </c>
      <c r="C43" t="s">
        <v>42</v>
      </c>
      <c r="D43" s="1">
        <v>1066</v>
      </c>
      <c r="E43" s="1">
        <v>14648</v>
      </c>
      <c r="F43" s="2">
        <v>65747</v>
      </c>
    </row>
    <row r="44" spans="1:6" x14ac:dyDescent="0.35">
      <c r="A44">
        <v>2020</v>
      </c>
      <c r="B44" t="s">
        <v>55</v>
      </c>
      <c r="C44" t="s">
        <v>43</v>
      </c>
      <c r="D44">
        <v>571</v>
      </c>
      <c r="E44" s="1">
        <v>4095</v>
      </c>
      <c r="F44" s="2">
        <v>41096</v>
      </c>
    </row>
    <row r="45" spans="1:6" x14ac:dyDescent="0.35">
      <c r="A45">
        <v>2020</v>
      </c>
      <c r="B45" t="s">
        <v>55</v>
      </c>
      <c r="C45" t="s">
        <v>44</v>
      </c>
      <c r="D45" s="1">
        <v>2073</v>
      </c>
      <c r="E45" s="1">
        <v>17603</v>
      </c>
      <c r="F45" s="2">
        <v>48671</v>
      </c>
    </row>
    <row r="46" spans="1:6" x14ac:dyDescent="0.35">
      <c r="A46">
        <v>2020</v>
      </c>
      <c r="B46" t="s">
        <v>55</v>
      </c>
      <c r="C46" t="s">
        <v>45</v>
      </c>
      <c r="D46" s="1">
        <v>6971</v>
      </c>
      <c r="E46" s="1">
        <v>101358</v>
      </c>
      <c r="F46" s="2">
        <v>36964</v>
      </c>
    </row>
    <row r="47" spans="1:6" x14ac:dyDescent="0.35">
      <c r="A47">
        <v>2020</v>
      </c>
      <c r="B47" t="s">
        <v>55</v>
      </c>
      <c r="C47" t="s">
        <v>46</v>
      </c>
      <c r="D47" s="1">
        <v>1117</v>
      </c>
      <c r="E47" s="1">
        <v>18455</v>
      </c>
      <c r="F47" s="2">
        <v>78059</v>
      </c>
    </row>
    <row r="48" spans="1:6" x14ac:dyDescent="0.35">
      <c r="A48">
        <v>2020</v>
      </c>
      <c r="B48" t="s">
        <v>55</v>
      </c>
      <c r="C48" t="s">
        <v>47</v>
      </c>
      <c r="D48" s="1">
        <v>2872</v>
      </c>
      <c r="E48" s="1">
        <v>30781</v>
      </c>
      <c r="F48" s="2">
        <v>41928</v>
      </c>
    </row>
    <row r="49" spans="1:6" x14ac:dyDescent="0.35">
      <c r="A49">
        <v>2020</v>
      </c>
      <c r="B49" t="s">
        <v>55</v>
      </c>
      <c r="C49" t="s">
        <v>48</v>
      </c>
      <c r="D49" s="1">
        <v>1440</v>
      </c>
      <c r="E49" s="1">
        <v>19091</v>
      </c>
      <c r="F49" s="2">
        <v>83063</v>
      </c>
    </row>
    <row r="50" spans="1:6" x14ac:dyDescent="0.35">
      <c r="A50">
        <v>2020</v>
      </c>
      <c r="B50" t="s">
        <v>51</v>
      </c>
      <c r="C50" t="s">
        <v>1</v>
      </c>
      <c r="D50" s="1">
        <v>10335</v>
      </c>
      <c r="E50" s="1">
        <v>92772</v>
      </c>
      <c r="F50" s="2">
        <v>59279</v>
      </c>
    </row>
    <row r="51" spans="1:6" x14ac:dyDescent="0.35">
      <c r="A51">
        <v>2020</v>
      </c>
      <c r="B51" t="s">
        <v>51</v>
      </c>
      <c r="C51" t="s">
        <v>2</v>
      </c>
      <c r="D51" s="1">
        <v>14006</v>
      </c>
      <c r="E51" s="1">
        <v>173852</v>
      </c>
      <c r="F51" s="2">
        <v>63056</v>
      </c>
    </row>
    <row r="52" spans="1:6" x14ac:dyDescent="0.35">
      <c r="A52">
        <v>2020</v>
      </c>
      <c r="B52" t="s">
        <v>51</v>
      </c>
      <c r="C52" t="s">
        <v>3</v>
      </c>
      <c r="D52" s="1">
        <v>7277</v>
      </c>
      <c r="E52" s="1">
        <v>53142</v>
      </c>
      <c r="F52" s="2">
        <v>52247</v>
      </c>
    </row>
    <row r="53" spans="1:6" x14ac:dyDescent="0.35">
      <c r="A53">
        <v>2020</v>
      </c>
      <c r="B53" t="s">
        <v>51</v>
      </c>
      <c r="C53" t="s">
        <v>4</v>
      </c>
      <c r="D53" s="1">
        <v>86322</v>
      </c>
      <c r="E53" s="1">
        <v>855879</v>
      </c>
      <c r="F53" s="2">
        <v>76740</v>
      </c>
    </row>
    <row r="54" spans="1:6" x14ac:dyDescent="0.35">
      <c r="A54">
        <v>2020</v>
      </c>
      <c r="B54" t="s">
        <v>51</v>
      </c>
      <c r="C54" t="s">
        <v>5</v>
      </c>
      <c r="D54" s="1">
        <v>21025</v>
      </c>
      <c r="E54" s="1">
        <v>174730</v>
      </c>
      <c r="F54" s="2">
        <v>68209</v>
      </c>
    </row>
    <row r="55" spans="1:6" x14ac:dyDescent="0.35">
      <c r="A55">
        <v>2020</v>
      </c>
      <c r="B55" t="s">
        <v>51</v>
      </c>
      <c r="C55" t="s">
        <v>6</v>
      </c>
      <c r="D55" s="1">
        <v>9415</v>
      </c>
      <c r="E55" s="1">
        <v>56915</v>
      </c>
      <c r="F55" s="2">
        <v>75591</v>
      </c>
    </row>
    <row r="56" spans="1:6" x14ac:dyDescent="0.35">
      <c r="A56">
        <v>2020</v>
      </c>
      <c r="B56" t="s">
        <v>51</v>
      </c>
      <c r="C56" t="s">
        <v>7</v>
      </c>
      <c r="D56" s="1">
        <v>3106</v>
      </c>
      <c r="E56" s="1">
        <v>22403</v>
      </c>
      <c r="F56" s="2">
        <v>64977</v>
      </c>
    </row>
    <row r="57" spans="1:6" x14ac:dyDescent="0.35">
      <c r="A57">
        <v>2020</v>
      </c>
      <c r="B57" t="s">
        <v>51</v>
      </c>
      <c r="C57" t="s">
        <v>8</v>
      </c>
      <c r="D57" s="1">
        <v>76308</v>
      </c>
      <c r="E57" s="1">
        <v>561991</v>
      </c>
      <c r="F57" s="2">
        <v>55910</v>
      </c>
    </row>
    <row r="58" spans="1:6" x14ac:dyDescent="0.35">
      <c r="A58">
        <v>2020</v>
      </c>
      <c r="B58" t="s">
        <v>51</v>
      </c>
      <c r="C58" t="s">
        <v>9</v>
      </c>
      <c r="D58" s="1">
        <v>22906</v>
      </c>
      <c r="E58" s="1">
        <v>200710</v>
      </c>
      <c r="F58" s="2">
        <v>66214</v>
      </c>
    </row>
    <row r="59" spans="1:6" x14ac:dyDescent="0.35">
      <c r="A59">
        <v>2020</v>
      </c>
      <c r="B59" t="s">
        <v>51</v>
      </c>
      <c r="C59" t="s">
        <v>10</v>
      </c>
      <c r="D59" s="1">
        <v>9159</v>
      </c>
      <c r="E59" s="1">
        <v>53385</v>
      </c>
      <c r="F59" s="2">
        <v>48649</v>
      </c>
    </row>
    <row r="60" spans="1:6" x14ac:dyDescent="0.35">
      <c r="A60">
        <v>2020</v>
      </c>
      <c r="B60" t="s">
        <v>51</v>
      </c>
      <c r="C60" t="s">
        <v>11</v>
      </c>
      <c r="D60" s="1">
        <v>32538</v>
      </c>
      <c r="E60" s="1">
        <v>216664</v>
      </c>
      <c r="F60" s="2">
        <v>76581</v>
      </c>
    </row>
    <row r="61" spans="1:6" x14ac:dyDescent="0.35">
      <c r="A61">
        <v>2020</v>
      </c>
      <c r="B61" t="s">
        <v>51</v>
      </c>
      <c r="C61" t="s">
        <v>12</v>
      </c>
      <c r="D61" s="1">
        <v>15617</v>
      </c>
      <c r="E61" s="1">
        <v>144001</v>
      </c>
      <c r="F61" s="2">
        <v>62619</v>
      </c>
    </row>
    <row r="62" spans="1:6" x14ac:dyDescent="0.35">
      <c r="A62">
        <v>2020</v>
      </c>
      <c r="B62" t="s">
        <v>51</v>
      </c>
      <c r="C62" t="s">
        <v>13</v>
      </c>
      <c r="D62" s="1">
        <v>9434</v>
      </c>
      <c r="E62" s="1">
        <v>76561</v>
      </c>
      <c r="F62" s="2">
        <v>61831</v>
      </c>
    </row>
    <row r="63" spans="1:6" x14ac:dyDescent="0.35">
      <c r="A63">
        <v>2020</v>
      </c>
      <c r="B63" t="s">
        <v>51</v>
      </c>
      <c r="C63" t="s">
        <v>14</v>
      </c>
      <c r="D63" s="1">
        <v>7355</v>
      </c>
      <c r="E63" s="1">
        <v>63118</v>
      </c>
      <c r="F63" s="2">
        <v>59126</v>
      </c>
    </row>
    <row r="64" spans="1:6" x14ac:dyDescent="0.35">
      <c r="A64">
        <v>2020</v>
      </c>
      <c r="B64" t="s">
        <v>51</v>
      </c>
      <c r="C64" t="s">
        <v>15</v>
      </c>
      <c r="D64" s="1">
        <v>9832</v>
      </c>
      <c r="E64" s="1">
        <v>77924</v>
      </c>
      <c r="F64" s="2">
        <v>58484</v>
      </c>
    </row>
    <row r="65" spans="1:6" x14ac:dyDescent="0.35">
      <c r="A65">
        <v>2020</v>
      </c>
      <c r="B65" t="s">
        <v>51</v>
      </c>
      <c r="C65" t="s">
        <v>16</v>
      </c>
      <c r="D65" s="1">
        <v>11349</v>
      </c>
      <c r="E65" s="1">
        <v>121521</v>
      </c>
      <c r="F65" s="2">
        <v>65354</v>
      </c>
    </row>
    <row r="66" spans="1:6" x14ac:dyDescent="0.35">
      <c r="A66">
        <v>2020</v>
      </c>
      <c r="B66" t="s">
        <v>51</v>
      </c>
      <c r="C66" t="s">
        <v>17</v>
      </c>
      <c r="D66" s="1">
        <v>5732</v>
      </c>
      <c r="E66" s="1">
        <v>30344</v>
      </c>
      <c r="F66" s="2">
        <v>55607</v>
      </c>
    </row>
    <row r="67" spans="1:6" x14ac:dyDescent="0.35">
      <c r="A67">
        <v>2020</v>
      </c>
      <c r="B67" t="s">
        <v>51</v>
      </c>
      <c r="C67" t="s">
        <v>18</v>
      </c>
      <c r="D67" s="1">
        <v>16346</v>
      </c>
      <c r="E67" s="1">
        <v>160039</v>
      </c>
      <c r="F67" s="2">
        <v>70642</v>
      </c>
    </row>
    <row r="68" spans="1:6" x14ac:dyDescent="0.35">
      <c r="A68">
        <v>2020</v>
      </c>
      <c r="B68" t="s">
        <v>51</v>
      </c>
      <c r="C68" t="s">
        <v>19</v>
      </c>
      <c r="D68" s="1">
        <v>21102</v>
      </c>
      <c r="E68" s="1">
        <v>152366</v>
      </c>
      <c r="F68" s="2">
        <v>84958</v>
      </c>
    </row>
    <row r="69" spans="1:6" x14ac:dyDescent="0.35">
      <c r="A69">
        <v>2020</v>
      </c>
      <c r="B69" t="s">
        <v>51</v>
      </c>
      <c r="C69" t="s">
        <v>20</v>
      </c>
      <c r="D69" s="1">
        <v>21646</v>
      </c>
      <c r="E69" s="1">
        <v>164028</v>
      </c>
      <c r="F69" s="2">
        <v>67631</v>
      </c>
    </row>
    <row r="70" spans="1:6" x14ac:dyDescent="0.35">
      <c r="A70">
        <v>2020</v>
      </c>
      <c r="B70" t="s">
        <v>51</v>
      </c>
      <c r="C70" t="s">
        <v>21</v>
      </c>
      <c r="D70" s="1">
        <v>16952</v>
      </c>
      <c r="E70" s="1">
        <v>123866</v>
      </c>
      <c r="F70" s="2">
        <v>72942</v>
      </c>
    </row>
    <row r="71" spans="1:6" x14ac:dyDescent="0.35">
      <c r="A71">
        <v>2020</v>
      </c>
      <c r="B71" t="s">
        <v>51</v>
      </c>
      <c r="C71" t="s">
        <v>22</v>
      </c>
      <c r="D71" s="1">
        <v>5839</v>
      </c>
      <c r="E71" s="1">
        <v>43888</v>
      </c>
      <c r="F71" s="2">
        <v>53779</v>
      </c>
    </row>
    <row r="72" spans="1:6" x14ac:dyDescent="0.35">
      <c r="A72">
        <v>2020</v>
      </c>
      <c r="B72" t="s">
        <v>51</v>
      </c>
      <c r="C72" t="s">
        <v>23</v>
      </c>
      <c r="D72" s="1">
        <v>15735</v>
      </c>
      <c r="E72" s="1">
        <v>126375</v>
      </c>
      <c r="F72" s="2">
        <v>64664</v>
      </c>
    </row>
    <row r="73" spans="1:6" x14ac:dyDescent="0.35">
      <c r="A73">
        <v>2020</v>
      </c>
      <c r="B73" t="s">
        <v>51</v>
      </c>
      <c r="C73" t="s">
        <v>24</v>
      </c>
      <c r="D73" s="1">
        <v>6813</v>
      </c>
      <c r="E73" s="1">
        <v>30793</v>
      </c>
      <c r="F73" s="2">
        <v>55897</v>
      </c>
    </row>
    <row r="74" spans="1:6" x14ac:dyDescent="0.35">
      <c r="A74">
        <v>2020</v>
      </c>
      <c r="B74" t="s">
        <v>51</v>
      </c>
      <c r="C74" t="s">
        <v>25</v>
      </c>
      <c r="D74" s="1">
        <v>7000</v>
      </c>
      <c r="E74" s="1">
        <v>55249</v>
      </c>
      <c r="F74" s="2">
        <v>56548</v>
      </c>
    </row>
    <row r="75" spans="1:6" x14ac:dyDescent="0.35">
      <c r="A75">
        <v>2020</v>
      </c>
      <c r="B75" t="s">
        <v>51</v>
      </c>
      <c r="C75" t="s">
        <v>26</v>
      </c>
      <c r="D75" s="1">
        <v>5757</v>
      </c>
      <c r="E75" s="1">
        <v>93450</v>
      </c>
      <c r="F75" s="2">
        <v>67902</v>
      </c>
    </row>
    <row r="76" spans="1:6" x14ac:dyDescent="0.35">
      <c r="A76">
        <v>2020</v>
      </c>
      <c r="B76" t="s">
        <v>51</v>
      </c>
      <c r="C76" t="s">
        <v>27</v>
      </c>
      <c r="D76" s="1">
        <v>4901</v>
      </c>
      <c r="E76" s="1">
        <v>27866</v>
      </c>
      <c r="F76" s="2">
        <v>68870</v>
      </c>
    </row>
    <row r="77" spans="1:6" x14ac:dyDescent="0.35">
      <c r="A77">
        <v>2020</v>
      </c>
      <c r="B77" t="s">
        <v>51</v>
      </c>
      <c r="C77" t="s">
        <v>28</v>
      </c>
      <c r="D77" s="1">
        <v>22711</v>
      </c>
      <c r="E77" s="1">
        <v>151469</v>
      </c>
      <c r="F77" s="2">
        <v>77924</v>
      </c>
    </row>
    <row r="78" spans="1:6" x14ac:dyDescent="0.35">
      <c r="A78">
        <v>2020</v>
      </c>
      <c r="B78" t="s">
        <v>51</v>
      </c>
      <c r="C78" t="s">
        <v>29</v>
      </c>
      <c r="D78" s="1">
        <v>5485</v>
      </c>
      <c r="E78" s="1">
        <v>48577</v>
      </c>
      <c r="F78" s="2">
        <v>53439</v>
      </c>
    </row>
    <row r="79" spans="1:6" x14ac:dyDescent="0.35">
      <c r="A79">
        <v>2020</v>
      </c>
      <c r="B79" t="s">
        <v>51</v>
      </c>
      <c r="C79" t="s">
        <v>30</v>
      </c>
      <c r="D79" s="1">
        <v>50929</v>
      </c>
      <c r="E79" s="1">
        <v>361821</v>
      </c>
      <c r="F79" s="2">
        <v>78199</v>
      </c>
    </row>
    <row r="80" spans="1:6" x14ac:dyDescent="0.35">
      <c r="A80">
        <v>2020</v>
      </c>
      <c r="B80" t="s">
        <v>51</v>
      </c>
      <c r="C80" t="s">
        <v>31</v>
      </c>
      <c r="D80" s="1">
        <v>29231</v>
      </c>
      <c r="E80" s="1">
        <v>229369</v>
      </c>
      <c r="F80" s="2">
        <v>59177</v>
      </c>
    </row>
    <row r="81" spans="1:6" x14ac:dyDescent="0.35">
      <c r="A81">
        <v>2020</v>
      </c>
      <c r="B81" t="s">
        <v>51</v>
      </c>
      <c r="C81" t="s">
        <v>32</v>
      </c>
      <c r="D81" s="1">
        <v>3669</v>
      </c>
      <c r="E81" s="1">
        <v>25364</v>
      </c>
      <c r="F81" s="2">
        <v>66729</v>
      </c>
    </row>
    <row r="82" spans="1:6" x14ac:dyDescent="0.35">
      <c r="A82">
        <v>2020</v>
      </c>
      <c r="B82" t="s">
        <v>51</v>
      </c>
      <c r="C82" t="s">
        <v>33</v>
      </c>
      <c r="D82" s="1">
        <v>23650</v>
      </c>
      <c r="E82" s="1">
        <v>218531</v>
      </c>
      <c r="F82" s="2">
        <v>65104</v>
      </c>
    </row>
    <row r="83" spans="1:6" x14ac:dyDescent="0.35">
      <c r="A83">
        <v>2020</v>
      </c>
      <c r="B83" t="s">
        <v>51</v>
      </c>
      <c r="C83" t="s">
        <v>34</v>
      </c>
      <c r="D83" s="1">
        <v>9855</v>
      </c>
      <c r="E83" s="1">
        <v>78772</v>
      </c>
      <c r="F83" s="2">
        <v>55099</v>
      </c>
    </row>
    <row r="84" spans="1:6" x14ac:dyDescent="0.35">
      <c r="A84">
        <v>2020</v>
      </c>
      <c r="B84" t="s">
        <v>51</v>
      </c>
      <c r="C84" t="s">
        <v>35</v>
      </c>
      <c r="D84" s="1">
        <v>14899</v>
      </c>
      <c r="E84" s="1">
        <v>107568</v>
      </c>
      <c r="F84" s="2">
        <v>66876</v>
      </c>
    </row>
    <row r="85" spans="1:6" x14ac:dyDescent="0.35">
      <c r="A85">
        <v>2020</v>
      </c>
      <c r="B85" t="s">
        <v>51</v>
      </c>
      <c r="C85" t="s">
        <v>36</v>
      </c>
      <c r="D85" s="1">
        <v>29345</v>
      </c>
      <c r="E85" s="1">
        <v>241570</v>
      </c>
      <c r="F85" s="2">
        <v>70639</v>
      </c>
    </row>
    <row r="86" spans="1:6" x14ac:dyDescent="0.35">
      <c r="A86">
        <v>2020</v>
      </c>
      <c r="B86" t="s">
        <v>51</v>
      </c>
      <c r="C86" t="s">
        <v>37</v>
      </c>
      <c r="D86" s="1">
        <v>3878</v>
      </c>
      <c r="E86" s="1">
        <v>18924</v>
      </c>
      <c r="F86" s="2">
        <v>66955</v>
      </c>
    </row>
    <row r="87" spans="1:6" x14ac:dyDescent="0.35">
      <c r="A87">
        <v>2020</v>
      </c>
      <c r="B87" t="s">
        <v>51</v>
      </c>
      <c r="C87" t="s">
        <v>38</v>
      </c>
      <c r="D87" s="1">
        <v>13348</v>
      </c>
      <c r="E87" s="1">
        <v>103647</v>
      </c>
      <c r="F87" s="2">
        <v>57906</v>
      </c>
    </row>
    <row r="88" spans="1:6" x14ac:dyDescent="0.35">
      <c r="A88">
        <v>2020</v>
      </c>
      <c r="B88" t="s">
        <v>51</v>
      </c>
      <c r="C88" t="s">
        <v>39</v>
      </c>
      <c r="D88" s="1">
        <v>3954</v>
      </c>
      <c r="E88" s="1">
        <v>24410</v>
      </c>
      <c r="F88" s="2">
        <v>54005</v>
      </c>
    </row>
    <row r="89" spans="1:6" x14ac:dyDescent="0.35">
      <c r="A89">
        <v>2020</v>
      </c>
      <c r="B89" t="s">
        <v>51</v>
      </c>
      <c r="C89" t="s">
        <v>40</v>
      </c>
      <c r="D89" s="1">
        <v>12894</v>
      </c>
      <c r="E89" s="1">
        <v>130050</v>
      </c>
      <c r="F89" s="2">
        <v>62259</v>
      </c>
    </row>
    <row r="90" spans="1:6" x14ac:dyDescent="0.35">
      <c r="A90">
        <v>2020</v>
      </c>
      <c r="B90" t="s">
        <v>51</v>
      </c>
      <c r="C90" t="s">
        <v>41</v>
      </c>
      <c r="D90" s="1">
        <v>55014</v>
      </c>
      <c r="E90" s="1">
        <v>737125</v>
      </c>
      <c r="F90" s="2">
        <v>68929</v>
      </c>
    </row>
    <row r="91" spans="1:6" x14ac:dyDescent="0.35">
      <c r="A91">
        <v>2020</v>
      </c>
      <c r="B91" t="s">
        <v>51</v>
      </c>
      <c r="C91" t="s">
        <v>42</v>
      </c>
      <c r="D91" s="1">
        <v>12932</v>
      </c>
      <c r="E91" s="1">
        <v>115416</v>
      </c>
      <c r="F91" s="2">
        <v>57474</v>
      </c>
    </row>
    <row r="92" spans="1:6" x14ac:dyDescent="0.35">
      <c r="A92">
        <v>2020</v>
      </c>
      <c r="B92" t="s">
        <v>51</v>
      </c>
      <c r="C92" t="s">
        <v>43</v>
      </c>
      <c r="D92" s="1">
        <v>2839</v>
      </c>
      <c r="E92" s="1">
        <v>14269</v>
      </c>
      <c r="F92" s="2">
        <v>55130</v>
      </c>
    </row>
    <row r="93" spans="1:6" x14ac:dyDescent="0.35">
      <c r="A93">
        <v>2020</v>
      </c>
      <c r="B93" t="s">
        <v>51</v>
      </c>
      <c r="C93" t="s">
        <v>44</v>
      </c>
      <c r="D93" s="1">
        <v>21412</v>
      </c>
      <c r="E93" s="1">
        <v>201137</v>
      </c>
      <c r="F93" s="2">
        <v>63521</v>
      </c>
    </row>
    <row r="94" spans="1:6" x14ac:dyDescent="0.35">
      <c r="A94">
        <v>2020</v>
      </c>
      <c r="B94" t="s">
        <v>51</v>
      </c>
      <c r="C94" t="s">
        <v>45</v>
      </c>
      <c r="D94" s="1">
        <v>27072</v>
      </c>
      <c r="E94" s="1">
        <v>199964</v>
      </c>
      <c r="F94" s="2">
        <v>69827</v>
      </c>
    </row>
    <row r="95" spans="1:6" x14ac:dyDescent="0.35">
      <c r="A95">
        <v>2020</v>
      </c>
      <c r="B95" t="s">
        <v>51</v>
      </c>
      <c r="C95" t="s">
        <v>46</v>
      </c>
      <c r="D95" s="1">
        <v>4300</v>
      </c>
      <c r="E95" s="1">
        <v>29583</v>
      </c>
      <c r="F95" s="2">
        <v>60489</v>
      </c>
    </row>
    <row r="96" spans="1:6" x14ac:dyDescent="0.35">
      <c r="A96">
        <v>2020</v>
      </c>
      <c r="B96" t="s">
        <v>51</v>
      </c>
      <c r="C96" t="s">
        <v>47</v>
      </c>
      <c r="D96" s="1">
        <v>14760</v>
      </c>
      <c r="E96" s="1">
        <v>123846</v>
      </c>
      <c r="F96" s="2">
        <v>66423</v>
      </c>
    </row>
    <row r="97" spans="1:6" x14ac:dyDescent="0.35">
      <c r="A97">
        <v>2020</v>
      </c>
      <c r="B97" t="s">
        <v>51</v>
      </c>
      <c r="C97" t="s">
        <v>48</v>
      </c>
      <c r="D97" s="1">
        <v>3478</v>
      </c>
      <c r="E97" s="1">
        <v>21200</v>
      </c>
      <c r="F97" s="2">
        <v>56640</v>
      </c>
    </row>
    <row r="98" spans="1:6" x14ac:dyDescent="0.35">
      <c r="A98">
        <v>2020</v>
      </c>
      <c r="B98" t="s">
        <v>52</v>
      </c>
      <c r="C98" t="s">
        <v>1</v>
      </c>
      <c r="D98" s="1">
        <v>5773</v>
      </c>
      <c r="E98" s="1">
        <v>258328</v>
      </c>
      <c r="F98" s="2">
        <v>60387</v>
      </c>
    </row>
    <row r="99" spans="1:6" x14ac:dyDescent="0.35">
      <c r="A99">
        <v>2020</v>
      </c>
      <c r="B99" t="s">
        <v>52</v>
      </c>
      <c r="C99" t="s">
        <v>2</v>
      </c>
      <c r="D99" s="1">
        <v>5213</v>
      </c>
      <c r="E99" s="1">
        <v>177110</v>
      </c>
      <c r="F99" s="2">
        <v>82375</v>
      </c>
    </row>
    <row r="100" spans="1:6" x14ac:dyDescent="0.35">
      <c r="A100">
        <v>2020</v>
      </c>
      <c r="B100" t="s">
        <v>52</v>
      </c>
      <c r="C100" t="s">
        <v>3</v>
      </c>
      <c r="D100" s="1">
        <v>2961</v>
      </c>
      <c r="E100" s="1">
        <v>154922</v>
      </c>
      <c r="F100" s="2">
        <v>51570</v>
      </c>
    </row>
    <row r="101" spans="1:6" x14ac:dyDescent="0.35">
      <c r="A101">
        <v>2020</v>
      </c>
      <c r="B101" t="s">
        <v>52</v>
      </c>
      <c r="C101" t="s">
        <v>4</v>
      </c>
      <c r="D101" s="1">
        <v>44156</v>
      </c>
      <c r="E101" s="1">
        <v>1263780</v>
      </c>
      <c r="F101" s="2">
        <v>109888</v>
      </c>
    </row>
    <row r="102" spans="1:6" x14ac:dyDescent="0.35">
      <c r="A102">
        <v>2020</v>
      </c>
      <c r="B102" t="s">
        <v>52</v>
      </c>
      <c r="C102" t="s">
        <v>5</v>
      </c>
      <c r="D102" s="1">
        <v>5888</v>
      </c>
      <c r="E102" s="1">
        <v>146473</v>
      </c>
      <c r="F102" s="2">
        <v>77207</v>
      </c>
    </row>
    <row r="103" spans="1:6" x14ac:dyDescent="0.35">
      <c r="A103">
        <v>2020</v>
      </c>
      <c r="B103" t="s">
        <v>52</v>
      </c>
      <c r="C103" t="s">
        <v>6</v>
      </c>
      <c r="D103" s="1">
        <v>4386</v>
      </c>
      <c r="E103" s="1">
        <v>153812</v>
      </c>
      <c r="F103" s="2">
        <v>87706</v>
      </c>
    </row>
    <row r="104" spans="1:6" x14ac:dyDescent="0.35">
      <c r="A104">
        <v>2020</v>
      </c>
      <c r="B104" t="s">
        <v>52</v>
      </c>
      <c r="C104" t="s">
        <v>7</v>
      </c>
      <c r="D104">
        <v>678</v>
      </c>
      <c r="E104" s="1">
        <v>25520</v>
      </c>
      <c r="F104" s="2">
        <v>68049</v>
      </c>
    </row>
    <row r="105" spans="1:6" x14ac:dyDescent="0.35">
      <c r="A105">
        <v>2020</v>
      </c>
      <c r="B105" t="s">
        <v>52</v>
      </c>
      <c r="C105" t="s">
        <v>8</v>
      </c>
      <c r="D105" s="1">
        <v>21275</v>
      </c>
      <c r="E105" s="1">
        <v>376070</v>
      </c>
      <c r="F105" s="2">
        <v>66758</v>
      </c>
    </row>
    <row r="106" spans="1:6" x14ac:dyDescent="0.35">
      <c r="A106">
        <v>2020</v>
      </c>
      <c r="B106" t="s">
        <v>52</v>
      </c>
      <c r="C106" t="s">
        <v>9</v>
      </c>
      <c r="D106" s="1">
        <v>10646</v>
      </c>
      <c r="E106" s="1">
        <v>382938</v>
      </c>
      <c r="F106" s="2">
        <v>60184</v>
      </c>
    </row>
    <row r="107" spans="1:6" x14ac:dyDescent="0.35">
      <c r="A107">
        <v>2020</v>
      </c>
      <c r="B107" t="s">
        <v>52</v>
      </c>
      <c r="C107" t="s">
        <v>10</v>
      </c>
      <c r="D107" s="1">
        <v>2886</v>
      </c>
      <c r="E107" s="1">
        <v>67700</v>
      </c>
      <c r="F107" s="2">
        <v>65603</v>
      </c>
    </row>
    <row r="108" spans="1:6" x14ac:dyDescent="0.35">
      <c r="A108">
        <v>2020</v>
      </c>
      <c r="B108" t="s">
        <v>52</v>
      </c>
      <c r="C108" t="s">
        <v>11</v>
      </c>
      <c r="D108" s="1">
        <v>18033</v>
      </c>
      <c r="E108" s="1">
        <v>554712</v>
      </c>
      <c r="F108" s="2">
        <v>74855</v>
      </c>
    </row>
    <row r="109" spans="1:6" x14ac:dyDescent="0.35">
      <c r="A109">
        <v>2020</v>
      </c>
      <c r="B109" t="s">
        <v>52</v>
      </c>
      <c r="C109" t="s">
        <v>12</v>
      </c>
      <c r="D109" s="1">
        <v>9255</v>
      </c>
      <c r="E109" s="1">
        <v>504460</v>
      </c>
      <c r="F109" s="2">
        <v>65092</v>
      </c>
    </row>
    <row r="110" spans="1:6" x14ac:dyDescent="0.35">
      <c r="A110">
        <v>2020</v>
      </c>
      <c r="B110" t="s">
        <v>52</v>
      </c>
      <c r="C110" t="s">
        <v>13</v>
      </c>
      <c r="D110" s="1">
        <v>4099</v>
      </c>
      <c r="E110" s="1">
        <v>216615</v>
      </c>
      <c r="F110" s="2">
        <v>63103</v>
      </c>
    </row>
    <row r="111" spans="1:6" x14ac:dyDescent="0.35">
      <c r="A111">
        <v>2020</v>
      </c>
      <c r="B111" t="s">
        <v>52</v>
      </c>
      <c r="C111" t="s">
        <v>14</v>
      </c>
      <c r="D111" s="1">
        <v>3109</v>
      </c>
      <c r="E111" s="1">
        <v>158784</v>
      </c>
      <c r="F111" s="2">
        <v>62958</v>
      </c>
    </row>
    <row r="112" spans="1:6" x14ac:dyDescent="0.35">
      <c r="A112">
        <v>2020</v>
      </c>
      <c r="B112" t="s">
        <v>52</v>
      </c>
      <c r="C112" t="s">
        <v>15</v>
      </c>
      <c r="D112" s="1">
        <v>4978</v>
      </c>
      <c r="E112" s="1">
        <v>235564</v>
      </c>
      <c r="F112" s="2">
        <v>62902</v>
      </c>
    </row>
    <row r="113" spans="1:6" x14ac:dyDescent="0.35">
      <c r="A113">
        <v>2020</v>
      </c>
      <c r="B113" t="s">
        <v>52</v>
      </c>
      <c r="C113" t="s">
        <v>16</v>
      </c>
      <c r="D113" s="1">
        <v>4501</v>
      </c>
      <c r="E113" s="1">
        <v>131430</v>
      </c>
      <c r="F113" s="2">
        <v>78183</v>
      </c>
    </row>
    <row r="114" spans="1:6" x14ac:dyDescent="0.35">
      <c r="A114">
        <v>2020</v>
      </c>
      <c r="B114" t="s">
        <v>52</v>
      </c>
      <c r="C114" t="s">
        <v>17</v>
      </c>
      <c r="D114" s="1">
        <v>1863</v>
      </c>
      <c r="E114" s="1">
        <v>50166</v>
      </c>
      <c r="F114" s="2">
        <v>61682</v>
      </c>
    </row>
    <row r="115" spans="1:6" x14ac:dyDescent="0.35">
      <c r="A115">
        <v>2020</v>
      </c>
      <c r="B115" t="s">
        <v>52</v>
      </c>
      <c r="C115" t="s">
        <v>18</v>
      </c>
      <c r="D115" s="1">
        <v>4168</v>
      </c>
      <c r="E115" s="1">
        <v>108500</v>
      </c>
      <c r="F115" s="2">
        <v>85426</v>
      </c>
    </row>
    <row r="116" spans="1:6" x14ac:dyDescent="0.35">
      <c r="A116">
        <v>2020</v>
      </c>
      <c r="B116" t="s">
        <v>52</v>
      </c>
      <c r="C116" t="s">
        <v>19</v>
      </c>
      <c r="D116" s="1">
        <v>6616</v>
      </c>
      <c r="E116" s="1">
        <v>229741</v>
      </c>
      <c r="F116" s="2">
        <v>96190</v>
      </c>
    </row>
    <row r="117" spans="1:6" x14ac:dyDescent="0.35">
      <c r="A117">
        <v>2020</v>
      </c>
      <c r="B117" t="s">
        <v>52</v>
      </c>
      <c r="C117" t="s">
        <v>20</v>
      </c>
      <c r="D117" s="1">
        <v>17437</v>
      </c>
      <c r="E117" s="1">
        <v>554767</v>
      </c>
      <c r="F117" s="2">
        <v>70769</v>
      </c>
    </row>
    <row r="118" spans="1:6" x14ac:dyDescent="0.35">
      <c r="A118">
        <v>2020</v>
      </c>
      <c r="B118" t="s">
        <v>52</v>
      </c>
      <c r="C118" t="s">
        <v>21</v>
      </c>
      <c r="D118" s="1">
        <v>8284</v>
      </c>
      <c r="E118" s="1">
        <v>309006</v>
      </c>
      <c r="F118" s="2">
        <v>70870</v>
      </c>
    </row>
    <row r="119" spans="1:6" x14ac:dyDescent="0.35">
      <c r="A119">
        <v>2020</v>
      </c>
      <c r="B119" t="s">
        <v>52</v>
      </c>
      <c r="C119" t="s">
        <v>22</v>
      </c>
      <c r="D119" s="1">
        <v>2375</v>
      </c>
      <c r="E119" s="1">
        <v>139480</v>
      </c>
      <c r="F119" s="2">
        <v>51918</v>
      </c>
    </row>
    <row r="120" spans="1:6" x14ac:dyDescent="0.35">
      <c r="A120">
        <v>2020</v>
      </c>
      <c r="B120" t="s">
        <v>52</v>
      </c>
      <c r="C120" t="s">
        <v>23</v>
      </c>
      <c r="D120" s="1">
        <v>6859</v>
      </c>
      <c r="E120" s="1">
        <v>266452</v>
      </c>
      <c r="F120" s="2">
        <v>61836</v>
      </c>
    </row>
    <row r="121" spans="1:6" x14ac:dyDescent="0.35">
      <c r="A121">
        <v>2020</v>
      </c>
      <c r="B121" t="s">
        <v>52</v>
      </c>
      <c r="C121" t="s">
        <v>24</v>
      </c>
      <c r="D121" s="1">
        <v>1672</v>
      </c>
      <c r="E121" s="1">
        <v>20421</v>
      </c>
      <c r="F121" s="2">
        <v>54178</v>
      </c>
    </row>
    <row r="122" spans="1:6" x14ac:dyDescent="0.35">
      <c r="A122">
        <v>2020</v>
      </c>
      <c r="B122" t="s">
        <v>52</v>
      </c>
      <c r="C122" t="s">
        <v>25</v>
      </c>
      <c r="D122" s="1">
        <v>1949</v>
      </c>
      <c r="E122" s="1">
        <v>97530</v>
      </c>
      <c r="F122" s="2">
        <v>56492</v>
      </c>
    </row>
    <row r="123" spans="1:6" x14ac:dyDescent="0.35">
      <c r="A123">
        <v>2020</v>
      </c>
      <c r="B123" t="s">
        <v>52</v>
      </c>
      <c r="C123" t="s">
        <v>26</v>
      </c>
      <c r="D123" s="1">
        <v>2054</v>
      </c>
      <c r="E123" s="1">
        <v>55673</v>
      </c>
      <c r="F123" s="2">
        <v>66821</v>
      </c>
    </row>
    <row r="124" spans="1:6" x14ac:dyDescent="0.35">
      <c r="A124">
        <v>2020</v>
      </c>
      <c r="B124" t="s">
        <v>52</v>
      </c>
      <c r="C124" t="s">
        <v>27</v>
      </c>
      <c r="D124" s="1">
        <v>2001</v>
      </c>
      <c r="E124" s="1">
        <v>67282</v>
      </c>
      <c r="F124" s="2">
        <v>77769</v>
      </c>
    </row>
    <row r="125" spans="1:6" x14ac:dyDescent="0.35">
      <c r="A125">
        <v>2020</v>
      </c>
      <c r="B125" t="s">
        <v>52</v>
      </c>
      <c r="C125" t="s">
        <v>28</v>
      </c>
      <c r="D125" s="1">
        <v>8964</v>
      </c>
      <c r="E125" s="1">
        <v>235850</v>
      </c>
      <c r="F125" s="2">
        <v>86277</v>
      </c>
    </row>
    <row r="126" spans="1:6" x14ac:dyDescent="0.35">
      <c r="A126">
        <v>2020</v>
      </c>
      <c r="B126" t="s">
        <v>52</v>
      </c>
      <c r="C126" t="s">
        <v>29</v>
      </c>
      <c r="D126" s="1">
        <v>1776</v>
      </c>
      <c r="E126" s="1">
        <v>27201</v>
      </c>
      <c r="F126" s="2">
        <v>58794</v>
      </c>
    </row>
    <row r="127" spans="1:6" x14ac:dyDescent="0.35">
      <c r="A127">
        <v>2020</v>
      </c>
      <c r="B127" t="s">
        <v>52</v>
      </c>
      <c r="C127" t="s">
        <v>30</v>
      </c>
      <c r="D127" s="1">
        <v>16292</v>
      </c>
      <c r="E127" s="1">
        <v>399337</v>
      </c>
      <c r="F127" s="2">
        <v>73103</v>
      </c>
    </row>
    <row r="128" spans="1:6" x14ac:dyDescent="0.35">
      <c r="A128">
        <v>2020</v>
      </c>
      <c r="B128" t="s">
        <v>52</v>
      </c>
      <c r="C128" t="s">
        <v>31</v>
      </c>
      <c r="D128" s="1">
        <v>10303</v>
      </c>
      <c r="E128" s="1">
        <v>452637</v>
      </c>
      <c r="F128" s="2">
        <v>63281</v>
      </c>
    </row>
    <row r="129" spans="1:6" x14ac:dyDescent="0.35">
      <c r="A129">
        <v>2020</v>
      </c>
      <c r="B129" t="s">
        <v>52</v>
      </c>
      <c r="C129" t="s">
        <v>32</v>
      </c>
      <c r="D129">
        <v>799</v>
      </c>
      <c r="E129" s="1">
        <v>25259</v>
      </c>
      <c r="F129" s="2">
        <v>57695</v>
      </c>
    </row>
    <row r="130" spans="1:6" x14ac:dyDescent="0.35">
      <c r="A130">
        <v>2020</v>
      </c>
      <c r="B130" t="s">
        <v>52</v>
      </c>
      <c r="C130" t="s">
        <v>33</v>
      </c>
      <c r="D130" s="1">
        <v>15453</v>
      </c>
      <c r="E130" s="1">
        <v>653028</v>
      </c>
      <c r="F130" s="2">
        <v>64995</v>
      </c>
    </row>
    <row r="131" spans="1:6" x14ac:dyDescent="0.35">
      <c r="A131">
        <v>2020</v>
      </c>
      <c r="B131" t="s">
        <v>52</v>
      </c>
      <c r="C131" t="s">
        <v>34</v>
      </c>
      <c r="D131" s="1">
        <v>4178</v>
      </c>
      <c r="E131" s="1">
        <v>131206</v>
      </c>
      <c r="F131" s="2">
        <v>60915</v>
      </c>
    </row>
    <row r="132" spans="1:6" x14ac:dyDescent="0.35">
      <c r="A132">
        <v>2020</v>
      </c>
      <c r="B132" t="s">
        <v>52</v>
      </c>
      <c r="C132" t="s">
        <v>35</v>
      </c>
      <c r="D132" s="1">
        <v>6354</v>
      </c>
      <c r="E132" s="1">
        <v>184947</v>
      </c>
      <c r="F132" s="2">
        <v>74927</v>
      </c>
    </row>
    <row r="133" spans="1:6" x14ac:dyDescent="0.35">
      <c r="A133">
        <v>2020</v>
      </c>
      <c r="B133" t="s">
        <v>52</v>
      </c>
      <c r="C133" t="s">
        <v>36</v>
      </c>
      <c r="D133" s="1">
        <v>14363</v>
      </c>
      <c r="E133" s="1">
        <v>537402</v>
      </c>
      <c r="F133" s="2">
        <v>66931</v>
      </c>
    </row>
    <row r="134" spans="1:6" x14ac:dyDescent="0.35">
      <c r="A134">
        <v>2020</v>
      </c>
      <c r="B134" t="s">
        <v>52</v>
      </c>
      <c r="C134" t="s">
        <v>37</v>
      </c>
      <c r="D134" s="1">
        <v>1516</v>
      </c>
      <c r="E134" s="1">
        <v>37411</v>
      </c>
      <c r="F134" s="2">
        <v>63645</v>
      </c>
    </row>
    <row r="135" spans="1:6" x14ac:dyDescent="0.35">
      <c r="A135">
        <v>2020</v>
      </c>
      <c r="B135" t="s">
        <v>52</v>
      </c>
      <c r="C135" t="s">
        <v>38</v>
      </c>
      <c r="D135" s="1">
        <v>6655</v>
      </c>
      <c r="E135" s="1">
        <v>244395</v>
      </c>
      <c r="F135" s="2">
        <v>61779</v>
      </c>
    </row>
    <row r="136" spans="1:6" x14ac:dyDescent="0.35">
      <c r="A136">
        <v>2020</v>
      </c>
      <c r="B136" t="s">
        <v>52</v>
      </c>
      <c r="C136" t="s">
        <v>39</v>
      </c>
      <c r="D136" s="1">
        <v>1072</v>
      </c>
      <c r="E136" s="1">
        <v>43135</v>
      </c>
      <c r="F136" s="2">
        <v>53285</v>
      </c>
    </row>
    <row r="137" spans="1:6" x14ac:dyDescent="0.35">
      <c r="A137">
        <v>2020</v>
      </c>
      <c r="B137" t="s">
        <v>52</v>
      </c>
      <c r="C137" t="s">
        <v>40</v>
      </c>
      <c r="D137" s="1">
        <v>7620</v>
      </c>
      <c r="E137" s="1">
        <v>334972</v>
      </c>
      <c r="F137" s="2">
        <v>63122</v>
      </c>
    </row>
    <row r="138" spans="1:6" x14ac:dyDescent="0.35">
      <c r="A138">
        <v>2020</v>
      </c>
      <c r="B138" t="s">
        <v>52</v>
      </c>
      <c r="C138" t="s">
        <v>41</v>
      </c>
      <c r="D138" s="1">
        <v>26257</v>
      </c>
      <c r="E138" s="1">
        <v>867807</v>
      </c>
      <c r="F138" s="2">
        <v>81206</v>
      </c>
    </row>
    <row r="139" spans="1:6" x14ac:dyDescent="0.35">
      <c r="A139">
        <v>2020</v>
      </c>
      <c r="B139" t="s">
        <v>52</v>
      </c>
      <c r="C139" t="s">
        <v>42</v>
      </c>
      <c r="D139" s="1">
        <v>4616</v>
      </c>
      <c r="E139" s="1">
        <v>135571</v>
      </c>
      <c r="F139" s="2">
        <v>61796</v>
      </c>
    </row>
    <row r="140" spans="1:6" x14ac:dyDescent="0.35">
      <c r="A140">
        <v>2020</v>
      </c>
      <c r="B140" t="s">
        <v>52</v>
      </c>
      <c r="C140" t="s">
        <v>43</v>
      </c>
      <c r="D140" s="1">
        <v>1107</v>
      </c>
      <c r="E140" s="1">
        <v>28176</v>
      </c>
      <c r="F140" s="2">
        <v>62352</v>
      </c>
    </row>
    <row r="141" spans="1:6" x14ac:dyDescent="0.35">
      <c r="A141">
        <v>2020</v>
      </c>
      <c r="B141" t="s">
        <v>52</v>
      </c>
      <c r="C141" t="s">
        <v>44</v>
      </c>
      <c r="D141" s="1">
        <v>7023</v>
      </c>
      <c r="E141" s="1">
        <v>232300</v>
      </c>
      <c r="F141" s="2">
        <v>63958</v>
      </c>
    </row>
    <row r="142" spans="1:6" x14ac:dyDescent="0.35">
      <c r="A142">
        <v>2020</v>
      </c>
      <c r="B142" t="s">
        <v>52</v>
      </c>
      <c r="C142" t="s">
        <v>45</v>
      </c>
      <c r="D142" s="1">
        <v>7882</v>
      </c>
      <c r="E142" s="1">
        <v>268553</v>
      </c>
      <c r="F142" s="2">
        <v>82000</v>
      </c>
    </row>
    <row r="143" spans="1:6" x14ac:dyDescent="0.35">
      <c r="A143">
        <v>2020</v>
      </c>
      <c r="B143" t="s">
        <v>52</v>
      </c>
      <c r="C143" t="s">
        <v>46</v>
      </c>
      <c r="D143" s="1">
        <v>1261</v>
      </c>
      <c r="E143" s="1">
        <v>44429</v>
      </c>
      <c r="F143" s="2">
        <v>62359</v>
      </c>
    </row>
    <row r="144" spans="1:6" x14ac:dyDescent="0.35">
      <c r="A144">
        <v>2020</v>
      </c>
      <c r="B144" t="s">
        <v>52</v>
      </c>
      <c r="C144" t="s">
        <v>47</v>
      </c>
      <c r="D144" s="1">
        <v>9214</v>
      </c>
      <c r="E144" s="1">
        <v>458262</v>
      </c>
      <c r="F144" s="2">
        <v>61039</v>
      </c>
    </row>
    <row r="145" spans="1:6" x14ac:dyDescent="0.35">
      <c r="A145">
        <v>2020</v>
      </c>
      <c r="B145" t="s">
        <v>52</v>
      </c>
      <c r="C145" t="s">
        <v>48</v>
      </c>
      <c r="D145">
        <v>620</v>
      </c>
      <c r="E145" s="1">
        <v>9580</v>
      </c>
      <c r="F145" s="2">
        <v>70308</v>
      </c>
    </row>
    <row r="146" spans="1:6" x14ac:dyDescent="0.35">
      <c r="A146">
        <v>2020</v>
      </c>
      <c r="B146" t="s">
        <v>54</v>
      </c>
      <c r="C146" t="s">
        <v>1</v>
      </c>
      <c r="D146" s="1">
        <v>32424</v>
      </c>
      <c r="E146" s="1">
        <v>372620</v>
      </c>
      <c r="F146" s="2">
        <v>45853</v>
      </c>
    </row>
    <row r="147" spans="1:6" x14ac:dyDescent="0.35">
      <c r="A147">
        <v>2020</v>
      </c>
      <c r="B147" t="s">
        <v>54</v>
      </c>
      <c r="C147" t="s">
        <v>2</v>
      </c>
      <c r="D147" s="1">
        <v>33859</v>
      </c>
      <c r="E147" s="1">
        <v>546143</v>
      </c>
      <c r="F147" s="2">
        <v>51498</v>
      </c>
    </row>
    <row r="148" spans="1:6" x14ac:dyDescent="0.35">
      <c r="A148">
        <v>2020</v>
      </c>
      <c r="B148" t="s">
        <v>54</v>
      </c>
      <c r="C148" t="s">
        <v>3</v>
      </c>
      <c r="D148" s="1">
        <v>21836</v>
      </c>
      <c r="E148" s="1">
        <v>244074</v>
      </c>
      <c r="F148" s="2">
        <v>45673</v>
      </c>
    </row>
    <row r="149" spans="1:6" x14ac:dyDescent="0.35">
      <c r="A149">
        <v>2020</v>
      </c>
      <c r="B149" t="s">
        <v>54</v>
      </c>
      <c r="C149" t="s">
        <v>4</v>
      </c>
      <c r="D149" s="1">
        <v>200632</v>
      </c>
      <c r="E149" s="1">
        <v>2888684</v>
      </c>
      <c r="F149" s="2">
        <v>58800</v>
      </c>
    </row>
    <row r="150" spans="1:6" x14ac:dyDescent="0.35">
      <c r="A150">
        <v>2020</v>
      </c>
      <c r="B150" t="s">
        <v>54</v>
      </c>
      <c r="C150" t="s">
        <v>5</v>
      </c>
      <c r="D150" s="1">
        <v>36421</v>
      </c>
      <c r="E150" s="1">
        <v>465887</v>
      </c>
      <c r="F150" s="2">
        <v>55719</v>
      </c>
    </row>
    <row r="151" spans="1:6" x14ac:dyDescent="0.35">
      <c r="A151">
        <v>2020</v>
      </c>
      <c r="B151" t="s">
        <v>54</v>
      </c>
      <c r="C151" t="s">
        <v>6</v>
      </c>
      <c r="D151" s="1">
        <v>24725</v>
      </c>
      <c r="E151" s="1">
        <v>276491</v>
      </c>
      <c r="F151" s="2">
        <v>55859</v>
      </c>
    </row>
    <row r="152" spans="1:6" x14ac:dyDescent="0.35">
      <c r="A152">
        <v>2020</v>
      </c>
      <c r="B152" t="s">
        <v>54</v>
      </c>
      <c r="C152" t="s">
        <v>7</v>
      </c>
      <c r="D152" s="1">
        <v>7050</v>
      </c>
      <c r="E152" s="1">
        <v>76267</v>
      </c>
      <c r="F152" s="2">
        <v>45667</v>
      </c>
    </row>
    <row r="153" spans="1:6" x14ac:dyDescent="0.35">
      <c r="A153">
        <v>2020</v>
      </c>
      <c r="B153" t="s">
        <v>54</v>
      </c>
      <c r="C153" t="s">
        <v>8</v>
      </c>
      <c r="D153" s="1">
        <v>142700</v>
      </c>
      <c r="E153" s="1">
        <v>1739110</v>
      </c>
      <c r="F153" s="2">
        <v>49391</v>
      </c>
    </row>
    <row r="154" spans="1:6" x14ac:dyDescent="0.35">
      <c r="A154">
        <v>2020</v>
      </c>
      <c r="B154" t="s">
        <v>54</v>
      </c>
      <c r="C154" t="s">
        <v>9</v>
      </c>
      <c r="D154" s="1">
        <v>64380</v>
      </c>
      <c r="E154" s="1">
        <v>913981</v>
      </c>
      <c r="F154" s="2">
        <v>52104</v>
      </c>
    </row>
    <row r="155" spans="1:6" x14ac:dyDescent="0.35">
      <c r="A155">
        <v>2020</v>
      </c>
      <c r="B155" t="s">
        <v>54</v>
      </c>
      <c r="C155" t="s">
        <v>10</v>
      </c>
      <c r="D155" s="1">
        <v>12742</v>
      </c>
      <c r="E155" s="1">
        <v>143264</v>
      </c>
      <c r="F155" s="2">
        <v>44610</v>
      </c>
    </row>
    <row r="156" spans="1:6" x14ac:dyDescent="0.35">
      <c r="A156">
        <v>2020</v>
      </c>
      <c r="B156" t="s">
        <v>54</v>
      </c>
      <c r="C156" t="s">
        <v>11</v>
      </c>
      <c r="D156" s="1">
        <v>78196</v>
      </c>
      <c r="E156" s="1">
        <v>1140749</v>
      </c>
      <c r="F156" s="2">
        <v>55780</v>
      </c>
    </row>
    <row r="157" spans="1:6" x14ac:dyDescent="0.35">
      <c r="A157">
        <v>2020</v>
      </c>
      <c r="B157" t="s">
        <v>54</v>
      </c>
      <c r="C157" t="s">
        <v>12</v>
      </c>
      <c r="D157" s="1">
        <v>40846</v>
      </c>
      <c r="E157" s="1">
        <v>583686</v>
      </c>
      <c r="F157" s="2">
        <v>45931</v>
      </c>
    </row>
    <row r="158" spans="1:6" x14ac:dyDescent="0.35">
      <c r="A158">
        <v>2020</v>
      </c>
      <c r="B158" t="s">
        <v>54</v>
      </c>
      <c r="C158" t="s">
        <v>13</v>
      </c>
      <c r="D158" s="1">
        <v>23479</v>
      </c>
      <c r="E158" s="1">
        <v>298376</v>
      </c>
      <c r="F158" s="2">
        <v>44146</v>
      </c>
    </row>
    <row r="159" spans="1:6" x14ac:dyDescent="0.35">
      <c r="A159">
        <v>2020</v>
      </c>
      <c r="B159" t="s">
        <v>54</v>
      </c>
      <c r="C159" t="s">
        <v>14</v>
      </c>
      <c r="D159" s="1">
        <v>19497</v>
      </c>
      <c r="E159" s="1">
        <v>255575</v>
      </c>
      <c r="F159" s="2">
        <v>46012</v>
      </c>
    </row>
    <row r="160" spans="1:6" x14ac:dyDescent="0.35">
      <c r="A160">
        <v>2020</v>
      </c>
      <c r="B160" t="s">
        <v>54</v>
      </c>
      <c r="C160" t="s">
        <v>15</v>
      </c>
      <c r="D160" s="1">
        <v>28266</v>
      </c>
      <c r="E160" s="1">
        <v>393361</v>
      </c>
      <c r="F160" s="2">
        <v>46839</v>
      </c>
    </row>
    <row r="161" spans="1:6" x14ac:dyDescent="0.35">
      <c r="A161">
        <v>2020</v>
      </c>
      <c r="B161" t="s">
        <v>54</v>
      </c>
      <c r="C161" t="s">
        <v>16</v>
      </c>
      <c r="D161" s="1">
        <v>31210</v>
      </c>
      <c r="E161" s="1">
        <v>358336</v>
      </c>
      <c r="F161" s="2">
        <v>46029</v>
      </c>
    </row>
    <row r="162" spans="1:6" x14ac:dyDescent="0.35">
      <c r="A162">
        <v>2020</v>
      </c>
      <c r="B162" t="s">
        <v>54</v>
      </c>
      <c r="C162" t="s">
        <v>17</v>
      </c>
      <c r="D162" s="1">
        <v>10546</v>
      </c>
      <c r="E162" s="1">
        <v>111483</v>
      </c>
      <c r="F162" s="2">
        <v>43084</v>
      </c>
    </row>
    <row r="163" spans="1:6" x14ac:dyDescent="0.35">
      <c r="A163">
        <v>2020</v>
      </c>
      <c r="B163" t="s">
        <v>54</v>
      </c>
      <c r="C163" t="s">
        <v>18</v>
      </c>
      <c r="D163" s="1">
        <v>31685</v>
      </c>
      <c r="E163" s="1">
        <v>441680</v>
      </c>
      <c r="F163" s="2">
        <v>50800</v>
      </c>
    </row>
    <row r="164" spans="1:6" x14ac:dyDescent="0.35">
      <c r="A164">
        <v>2020</v>
      </c>
      <c r="B164" t="s">
        <v>54</v>
      </c>
      <c r="C164" t="s">
        <v>19</v>
      </c>
      <c r="D164" s="1">
        <v>40751</v>
      </c>
      <c r="E164" s="1">
        <v>526726</v>
      </c>
      <c r="F164" s="2">
        <v>61082</v>
      </c>
    </row>
    <row r="165" spans="1:6" x14ac:dyDescent="0.35">
      <c r="A165">
        <v>2020</v>
      </c>
      <c r="B165" t="s">
        <v>54</v>
      </c>
      <c r="C165" t="s">
        <v>20</v>
      </c>
      <c r="D165" s="1">
        <v>55149</v>
      </c>
      <c r="E165" s="1">
        <v>745824</v>
      </c>
      <c r="F165" s="2">
        <v>51869</v>
      </c>
    </row>
    <row r="166" spans="1:6" x14ac:dyDescent="0.35">
      <c r="A166">
        <v>2020</v>
      </c>
      <c r="B166" t="s">
        <v>54</v>
      </c>
      <c r="C166" t="s">
        <v>21</v>
      </c>
      <c r="D166" s="1">
        <v>37255</v>
      </c>
      <c r="E166" s="1">
        <v>499190</v>
      </c>
      <c r="F166" s="2">
        <v>53843</v>
      </c>
    </row>
    <row r="167" spans="1:6" x14ac:dyDescent="0.35">
      <c r="A167">
        <v>2020</v>
      </c>
      <c r="B167" t="s">
        <v>54</v>
      </c>
      <c r="C167" t="s">
        <v>22</v>
      </c>
      <c r="D167" s="1">
        <v>19589</v>
      </c>
      <c r="E167" s="1">
        <v>226629</v>
      </c>
      <c r="F167" s="2">
        <v>40176</v>
      </c>
    </row>
    <row r="168" spans="1:6" x14ac:dyDescent="0.35">
      <c r="A168">
        <v>2020</v>
      </c>
      <c r="B168" t="s">
        <v>54</v>
      </c>
      <c r="C168" t="s">
        <v>23</v>
      </c>
      <c r="D168" s="1">
        <v>39646</v>
      </c>
      <c r="E168" s="1">
        <v>519916</v>
      </c>
      <c r="F168" s="2">
        <v>46520</v>
      </c>
    </row>
    <row r="169" spans="1:6" x14ac:dyDescent="0.35">
      <c r="A169">
        <v>2020</v>
      </c>
      <c r="B169" t="s">
        <v>54</v>
      </c>
      <c r="C169" t="s">
        <v>24</v>
      </c>
      <c r="D169" s="1">
        <v>9323</v>
      </c>
      <c r="E169" s="1">
        <v>89315</v>
      </c>
      <c r="F169" s="2">
        <v>43996</v>
      </c>
    </row>
    <row r="170" spans="1:6" x14ac:dyDescent="0.35">
      <c r="A170">
        <v>2020</v>
      </c>
      <c r="B170" t="s">
        <v>54</v>
      </c>
      <c r="C170" t="s">
        <v>25</v>
      </c>
      <c r="D170" s="1">
        <v>14748</v>
      </c>
      <c r="E170" s="1">
        <v>182745</v>
      </c>
      <c r="F170" s="2">
        <v>44095</v>
      </c>
    </row>
    <row r="171" spans="1:6" x14ac:dyDescent="0.35">
      <c r="A171">
        <v>2020</v>
      </c>
      <c r="B171" t="s">
        <v>54</v>
      </c>
      <c r="C171" t="s">
        <v>26</v>
      </c>
      <c r="D171" s="1">
        <v>15481</v>
      </c>
      <c r="E171" s="1">
        <v>252623</v>
      </c>
      <c r="F171" s="2">
        <v>48334</v>
      </c>
    </row>
    <row r="172" spans="1:6" x14ac:dyDescent="0.35">
      <c r="A172">
        <v>2020</v>
      </c>
      <c r="B172" t="s">
        <v>54</v>
      </c>
      <c r="C172" t="s">
        <v>27</v>
      </c>
      <c r="D172" s="1">
        <v>12460</v>
      </c>
      <c r="E172" s="1">
        <v>133196</v>
      </c>
      <c r="F172" s="2">
        <v>54425</v>
      </c>
    </row>
    <row r="173" spans="1:6" x14ac:dyDescent="0.35">
      <c r="A173">
        <v>2020</v>
      </c>
      <c r="B173" t="s">
        <v>54</v>
      </c>
      <c r="C173" t="s">
        <v>28</v>
      </c>
      <c r="D173" s="1">
        <v>54606</v>
      </c>
      <c r="E173" s="1">
        <v>820259</v>
      </c>
      <c r="F173" s="2">
        <v>58675</v>
      </c>
    </row>
    <row r="174" spans="1:6" x14ac:dyDescent="0.35">
      <c r="A174">
        <v>2020</v>
      </c>
      <c r="B174" t="s">
        <v>54</v>
      </c>
      <c r="C174" t="s">
        <v>29</v>
      </c>
      <c r="D174" s="1">
        <v>10949</v>
      </c>
      <c r="E174" s="1">
        <v>130261</v>
      </c>
      <c r="F174" s="2">
        <v>41086</v>
      </c>
    </row>
    <row r="175" spans="1:6" x14ac:dyDescent="0.35">
      <c r="A175">
        <v>2020</v>
      </c>
      <c r="B175" t="s">
        <v>54</v>
      </c>
      <c r="C175" t="s">
        <v>30</v>
      </c>
      <c r="D175" s="1">
        <v>118946</v>
      </c>
      <c r="E175" s="1">
        <v>1366746</v>
      </c>
      <c r="F175" s="2">
        <v>57939</v>
      </c>
    </row>
    <row r="176" spans="1:6" x14ac:dyDescent="0.35">
      <c r="A176">
        <v>2020</v>
      </c>
      <c r="B176" t="s">
        <v>54</v>
      </c>
      <c r="C176" t="s">
        <v>31</v>
      </c>
      <c r="D176" s="1">
        <v>63455</v>
      </c>
      <c r="E176" s="1">
        <v>844765</v>
      </c>
      <c r="F176" s="2">
        <v>47171</v>
      </c>
    </row>
    <row r="177" spans="1:6" x14ac:dyDescent="0.35">
      <c r="A177">
        <v>2020</v>
      </c>
      <c r="B177" t="s">
        <v>54</v>
      </c>
      <c r="C177" t="s">
        <v>32</v>
      </c>
      <c r="D177" s="1">
        <v>7745</v>
      </c>
      <c r="E177" s="1">
        <v>86570</v>
      </c>
      <c r="F177" s="2">
        <v>52657</v>
      </c>
    </row>
    <row r="178" spans="1:6" x14ac:dyDescent="0.35">
      <c r="A178">
        <v>2020</v>
      </c>
      <c r="B178" t="s">
        <v>54</v>
      </c>
      <c r="C178" t="s">
        <v>33</v>
      </c>
      <c r="D178" s="1">
        <v>68987</v>
      </c>
      <c r="E178" s="1">
        <v>998325</v>
      </c>
      <c r="F178" s="2">
        <v>48088</v>
      </c>
    </row>
    <row r="179" spans="1:6" x14ac:dyDescent="0.35">
      <c r="A179">
        <v>2020</v>
      </c>
      <c r="B179" t="s">
        <v>54</v>
      </c>
      <c r="C179" t="s">
        <v>34</v>
      </c>
      <c r="D179" s="1">
        <v>23912</v>
      </c>
      <c r="E179" s="1">
        <v>301828</v>
      </c>
      <c r="F179" s="2">
        <v>43388</v>
      </c>
    </row>
    <row r="180" spans="1:6" x14ac:dyDescent="0.35">
      <c r="A180">
        <v>2020</v>
      </c>
      <c r="B180" t="s">
        <v>54</v>
      </c>
      <c r="C180" t="s">
        <v>35</v>
      </c>
      <c r="D180" s="1">
        <v>26241</v>
      </c>
      <c r="E180" s="1">
        <v>346783</v>
      </c>
      <c r="F180" s="2">
        <v>49251</v>
      </c>
    </row>
    <row r="181" spans="1:6" x14ac:dyDescent="0.35">
      <c r="A181">
        <v>2020</v>
      </c>
      <c r="B181" t="s">
        <v>54</v>
      </c>
      <c r="C181" t="s">
        <v>36</v>
      </c>
      <c r="D181" s="1">
        <v>73985</v>
      </c>
      <c r="E181" s="1">
        <v>1054388</v>
      </c>
      <c r="F181" s="2">
        <v>49535</v>
      </c>
    </row>
    <row r="182" spans="1:6" x14ac:dyDescent="0.35">
      <c r="A182">
        <v>2020</v>
      </c>
      <c r="B182" t="s">
        <v>54</v>
      </c>
      <c r="C182" t="s">
        <v>37</v>
      </c>
      <c r="D182" s="1">
        <v>7816</v>
      </c>
      <c r="E182" s="1">
        <v>70764</v>
      </c>
      <c r="F182" s="2">
        <v>49493</v>
      </c>
    </row>
    <row r="183" spans="1:6" x14ac:dyDescent="0.35">
      <c r="A183">
        <v>2020</v>
      </c>
      <c r="B183" t="s">
        <v>54</v>
      </c>
      <c r="C183" t="s">
        <v>38</v>
      </c>
      <c r="D183" s="1">
        <v>31674</v>
      </c>
      <c r="E183" s="1">
        <v>400537</v>
      </c>
      <c r="F183" s="2">
        <v>43717</v>
      </c>
    </row>
    <row r="184" spans="1:6" x14ac:dyDescent="0.35">
      <c r="A184">
        <v>2020</v>
      </c>
      <c r="B184" t="s">
        <v>54</v>
      </c>
      <c r="C184" t="s">
        <v>39</v>
      </c>
      <c r="D184" s="1">
        <v>8068</v>
      </c>
      <c r="E184" s="1">
        <v>83179</v>
      </c>
      <c r="F184" s="2">
        <v>44162</v>
      </c>
    </row>
    <row r="185" spans="1:6" x14ac:dyDescent="0.35">
      <c r="A185">
        <v>2020</v>
      </c>
      <c r="B185" t="s">
        <v>54</v>
      </c>
      <c r="C185" t="s">
        <v>40</v>
      </c>
      <c r="D185" s="1">
        <v>40806</v>
      </c>
      <c r="E185" s="1">
        <v>627005</v>
      </c>
      <c r="F185" s="2">
        <v>50111</v>
      </c>
    </row>
    <row r="186" spans="1:6" x14ac:dyDescent="0.35">
      <c r="A186">
        <v>2020</v>
      </c>
      <c r="B186" t="s">
        <v>54</v>
      </c>
      <c r="C186" t="s">
        <v>41</v>
      </c>
      <c r="D186" s="1">
        <v>152438</v>
      </c>
      <c r="E186" s="1">
        <v>2453267</v>
      </c>
      <c r="F186" s="2">
        <v>56485</v>
      </c>
    </row>
    <row r="187" spans="1:6" x14ac:dyDescent="0.35">
      <c r="A187">
        <v>2020</v>
      </c>
      <c r="B187" t="s">
        <v>54</v>
      </c>
      <c r="C187" t="s">
        <v>42</v>
      </c>
      <c r="D187" s="1">
        <v>20535</v>
      </c>
      <c r="E187" s="1">
        <v>288623</v>
      </c>
      <c r="F187" s="2">
        <v>49353</v>
      </c>
    </row>
    <row r="188" spans="1:6" x14ac:dyDescent="0.35">
      <c r="A188">
        <v>2020</v>
      </c>
      <c r="B188" t="s">
        <v>54</v>
      </c>
      <c r="C188" t="s">
        <v>43</v>
      </c>
      <c r="D188" s="1">
        <v>5003</v>
      </c>
      <c r="E188" s="1">
        <v>49851</v>
      </c>
      <c r="F188" s="2">
        <v>45701</v>
      </c>
    </row>
    <row r="189" spans="1:6" x14ac:dyDescent="0.35">
      <c r="A189">
        <v>2020</v>
      </c>
      <c r="B189" t="s">
        <v>54</v>
      </c>
      <c r="C189" t="s">
        <v>44</v>
      </c>
      <c r="D189" s="1">
        <v>42564</v>
      </c>
      <c r="E189" s="1">
        <v>627729</v>
      </c>
      <c r="F189" s="2">
        <v>48371</v>
      </c>
    </row>
    <row r="190" spans="1:6" x14ac:dyDescent="0.35">
      <c r="A190">
        <v>2020</v>
      </c>
      <c r="B190" t="s">
        <v>54</v>
      </c>
      <c r="C190" t="s">
        <v>45</v>
      </c>
      <c r="D190" s="1">
        <v>38688</v>
      </c>
      <c r="E190" s="1">
        <v>615415</v>
      </c>
      <c r="F190" s="2">
        <v>74160</v>
      </c>
    </row>
    <row r="191" spans="1:6" x14ac:dyDescent="0.35">
      <c r="A191">
        <v>2020</v>
      </c>
      <c r="B191" t="s">
        <v>54</v>
      </c>
      <c r="C191" t="s">
        <v>46</v>
      </c>
      <c r="D191" s="1">
        <v>10611</v>
      </c>
      <c r="E191" s="1">
        <v>118677</v>
      </c>
      <c r="F191" s="2">
        <v>42085</v>
      </c>
    </row>
    <row r="192" spans="1:6" x14ac:dyDescent="0.35">
      <c r="A192">
        <v>2020</v>
      </c>
      <c r="B192" t="s">
        <v>54</v>
      </c>
      <c r="C192" t="s">
        <v>47</v>
      </c>
      <c r="D192" s="1">
        <v>35812</v>
      </c>
      <c r="E192" s="1">
        <v>517930</v>
      </c>
      <c r="F192" s="2">
        <v>45165</v>
      </c>
    </row>
    <row r="193" spans="1:6" x14ac:dyDescent="0.35">
      <c r="A193">
        <v>2020</v>
      </c>
      <c r="B193" t="s">
        <v>54</v>
      </c>
      <c r="C193" t="s">
        <v>48</v>
      </c>
      <c r="D193" s="1">
        <v>4840</v>
      </c>
      <c r="E193" s="1">
        <v>48509</v>
      </c>
      <c r="F193" s="2">
        <v>44879</v>
      </c>
    </row>
    <row r="194" spans="1:6" x14ac:dyDescent="0.35">
      <c r="A194">
        <v>2020</v>
      </c>
      <c r="B194" t="s">
        <v>53</v>
      </c>
      <c r="C194" t="s">
        <v>1</v>
      </c>
      <c r="D194" s="1">
        <v>2566</v>
      </c>
      <c r="E194" s="1">
        <v>19310</v>
      </c>
      <c r="F194" s="2">
        <v>69393</v>
      </c>
    </row>
    <row r="195" spans="1:6" x14ac:dyDescent="0.35">
      <c r="A195">
        <v>2020</v>
      </c>
      <c r="B195" t="s">
        <v>53</v>
      </c>
      <c r="C195" t="s">
        <v>2</v>
      </c>
      <c r="D195" s="1">
        <v>4017</v>
      </c>
      <c r="E195" s="1">
        <v>45513</v>
      </c>
      <c r="F195" s="2">
        <v>90871</v>
      </c>
    </row>
    <row r="196" spans="1:6" x14ac:dyDescent="0.35">
      <c r="A196">
        <v>2020</v>
      </c>
      <c r="B196" t="s">
        <v>53</v>
      </c>
      <c r="C196" t="s">
        <v>3</v>
      </c>
      <c r="D196" s="1">
        <v>1536</v>
      </c>
      <c r="E196" s="1">
        <v>11509</v>
      </c>
      <c r="F196" s="2">
        <v>69820</v>
      </c>
    </row>
    <row r="197" spans="1:6" x14ac:dyDescent="0.35">
      <c r="A197">
        <v>2020</v>
      </c>
      <c r="B197" t="s">
        <v>53</v>
      </c>
      <c r="C197" t="s">
        <v>4</v>
      </c>
      <c r="D197" s="1">
        <v>29491</v>
      </c>
      <c r="E197" s="1">
        <v>527549</v>
      </c>
      <c r="F197" s="2">
        <v>217892</v>
      </c>
    </row>
    <row r="198" spans="1:6" x14ac:dyDescent="0.35">
      <c r="A198">
        <v>2020</v>
      </c>
      <c r="B198" t="s">
        <v>53</v>
      </c>
      <c r="C198" t="s">
        <v>5</v>
      </c>
      <c r="D198" s="1">
        <v>4548</v>
      </c>
      <c r="E198" s="1">
        <v>74867</v>
      </c>
      <c r="F198" s="2">
        <v>123495</v>
      </c>
    </row>
    <row r="199" spans="1:6" x14ac:dyDescent="0.35">
      <c r="A199">
        <v>2020</v>
      </c>
      <c r="B199" t="s">
        <v>53</v>
      </c>
      <c r="C199" t="s">
        <v>6</v>
      </c>
      <c r="D199" s="1">
        <v>2880</v>
      </c>
      <c r="E199" s="1">
        <v>29237</v>
      </c>
      <c r="F199" s="2">
        <v>138917</v>
      </c>
    </row>
    <row r="200" spans="1:6" x14ac:dyDescent="0.35">
      <c r="A200">
        <v>2020</v>
      </c>
      <c r="B200" t="s">
        <v>53</v>
      </c>
      <c r="C200" t="s">
        <v>7</v>
      </c>
      <c r="D200">
        <v>549</v>
      </c>
      <c r="E200" s="1">
        <v>3622</v>
      </c>
      <c r="F200" s="2">
        <v>78966</v>
      </c>
    </row>
    <row r="201" spans="1:6" x14ac:dyDescent="0.35">
      <c r="A201">
        <v>2020</v>
      </c>
      <c r="B201" t="s">
        <v>53</v>
      </c>
      <c r="C201" t="s">
        <v>8</v>
      </c>
      <c r="D201" s="1">
        <v>12659</v>
      </c>
      <c r="E201" s="1">
        <v>130298</v>
      </c>
      <c r="F201" s="2">
        <v>93350</v>
      </c>
    </row>
    <row r="202" spans="1:6" x14ac:dyDescent="0.35">
      <c r="A202">
        <v>2020</v>
      </c>
      <c r="B202" t="s">
        <v>53</v>
      </c>
      <c r="C202" t="s">
        <v>9</v>
      </c>
      <c r="D202" s="1">
        <v>6010</v>
      </c>
      <c r="E202" s="1">
        <v>109190</v>
      </c>
      <c r="F202" s="2">
        <v>108735</v>
      </c>
    </row>
    <row r="203" spans="1:6" x14ac:dyDescent="0.35">
      <c r="A203">
        <v>2020</v>
      </c>
      <c r="B203" t="s">
        <v>53</v>
      </c>
      <c r="C203" t="s">
        <v>10</v>
      </c>
      <c r="D203" s="1">
        <v>1385</v>
      </c>
      <c r="E203" s="1">
        <v>7346</v>
      </c>
      <c r="F203" s="2">
        <v>64408</v>
      </c>
    </row>
    <row r="204" spans="1:6" x14ac:dyDescent="0.35">
      <c r="A204">
        <v>2020</v>
      </c>
      <c r="B204" t="s">
        <v>53</v>
      </c>
      <c r="C204" t="s">
        <v>11</v>
      </c>
      <c r="D204" s="1">
        <v>7162</v>
      </c>
      <c r="E204" s="1">
        <v>87520</v>
      </c>
      <c r="F204" s="2">
        <v>110059</v>
      </c>
    </row>
    <row r="205" spans="1:6" x14ac:dyDescent="0.35">
      <c r="A205">
        <v>2020</v>
      </c>
      <c r="B205" t="s">
        <v>53</v>
      </c>
      <c r="C205" t="s">
        <v>12</v>
      </c>
      <c r="D205" s="1">
        <v>2521</v>
      </c>
      <c r="E205" s="1">
        <v>26075</v>
      </c>
      <c r="F205" s="2">
        <v>67191</v>
      </c>
    </row>
    <row r="206" spans="1:6" x14ac:dyDescent="0.35">
      <c r="A206">
        <v>2020</v>
      </c>
      <c r="B206" t="s">
        <v>53</v>
      </c>
      <c r="C206" t="s">
        <v>13</v>
      </c>
      <c r="D206" s="1">
        <v>1811</v>
      </c>
      <c r="E206" s="1">
        <v>19135</v>
      </c>
      <c r="F206" s="2">
        <v>66858</v>
      </c>
    </row>
    <row r="207" spans="1:6" x14ac:dyDescent="0.35">
      <c r="A207">
        <v>2020</v>
      </c>
      <c r="B207" t="s">
        <v>53</v>
      </c>
      <c r="C207" t="s">
        <v>14</v>
      </c>
      <c r="D207" s="1">
        <v>1561</v>
      </c>
      <c r="E207" s="1">
        <v>16734</v>
      </c>
      <c r="F207" s="2">
        <v>73749</v>
      </c>
    </row>
    <row r="208" spans="1:6" x14ac:dyDescent="0.35">
      <c r="A208">
        <v>2020</v>
      </c>
      <c r="B208" t="s">
        <v>53</v>
      </c>
      <c r="C208" t="s">
        <v>15</v>
      </c>
      <c r="D208" s="1">
        <v>2111</v>
      </c>
      <c r="E208" s="1">
        <v>20268</v>
      </c>
      <c r="F208" s="2">
        <v>63462</v>
      </c>
    </row>
    <row r="209" spans="1:6" x14ac:dyDescent="0.35">
      <c r="A209">
        <v>2020</v>
      </c>
      <c r="B209" t="s">
        <v>53</v>
      </c>
      <c r="C209" t="s">
        <v>16</v>
      </c>
      <c r="D209" s="1">
        <v>1935</v>
      </c>
      <c r="E209" s="1">
        <v>18712</v>
      </c>
      <c r="F209" s="2">
        <v>65700</v>
      </c>
    </row>
    <row r="210" spans="1:6" x14ac:dyDescent="0.35">
      <c r="A210">
        <v>2020</v>
      </c>
      <c r="B210" t="s">
        <v>53</v>
      </c>
      <c r="C210" t="s">
        <v>17</v>
      </c>
      <c r="D210">
        <v>916</v>
      </c>
      <c r="E210" s="1">
        <v>6415</v>
      </c>
      <c r="F210" s="2">
        <v>64265</v>
      </c>
    </row>
    <row r="211" spans="1:6" x14ac:dyDescent="0.35">
      <c r="A211">
        <v>2020</v>
      </c>
      <c r="B211" t="s">
        <v>53</v>
      </c>
      <c r="C211" t="s">
        <v>18</v>
      </c>
      <c r="D211" s="1">
        <v>2855</v>
      </c>
      <c r="E211" s="1">
        <v>33029</v>
      </c>
      <c r="F211" s="2">
        <v>110569</v>
      </c>
    </row>
    <row r="212" spans="1:6" x14ac:dyDescent="0.35">
      <c r="A212">
        <v>2020</v>
      </c>
      <c r="B212" t="s">
        <v>53</v>
      </c>
      <c r="C212" t="s">
        <v>19</v>
      </c>
      <c r="D212" s="1">
        <v>6073</v>
      </c>
      <c r="E212" s="1">
        <v>89231</v>
      </c>
      <c r="F212" s="2">
        <v>146746</v>
      </c>
    </row>
    <row r="213" spans="1:6" x14ac:dyDescent="0.35">
      <c r="A213">
        <v>2020</v>
      </c>
      <c r="B213" t="s">
        <v>53</v>
      </c>
      <c r="C213" t="s">
        <v>20</v>
      </c>
      <c r="D213" s="1">
        <v>7671</v>
      </c>
      <c r="E213" s="1">
        <v>50511</v>
      </c>
      <c r="F213" s="2">
        <v>88745</v>
      </c>
    </row>
    <row r="214" spans="1:6" x14ac:dyDescent="0.35">
      <c r="A214">
        <v>2020</v>
      </c>
      <c r="B214" t="s">
        <v>53</v>
      </c>
      <c r="C214" t="s">
        <v>21</v>
      </c>
      <c r="D214" s="1">
        <v>4304</v>
      </c>
      <c r="E214" s="1">
        <v>43145</v>
      </c>
      <c r="F214" s="2">
        <v>92292</v>
      </c>
    </row>
    <row r="215" spans="1:6" x14ac:dyDescent="0.35">
      <c r="A215">
        <v>2020</v>
      </c>
      <c r="B215" t="s">
        <v>53</v>
      </c>
      <c r="C215" t="s">
        <v>22</v>
      </c>
      <c r="D215">
        <v>964</v>
      </c>
      <c r="E215" s="1">
        <v>9629</v>
      </c>
      <c r="F215" s="2">
        <v>54301</v>
      </c>
    </row>
    <row r="216" spans="1:6" x14ac:dyDescent="0.35">
      <c r="A216">
        <v>2020</v>
      </c>
      <c r="B216" t="s">
        <v>53</v>
      </c>
      <c r="C216" t="s">
        <v>23</v>
      </c>
      <c r="D216" s="1">
        <v>3562</v>
      </c>
      <c r="E216" s="1">
        <v>43675</v>
      </c>
      <c r="F216" s="2">
        <v>89327</v>
      </c>
    </row>
    <row r="217" spans="1:6" x14ac:dyDescent="0.35">
      <c r="A217">
        <v>2020</v>
      </c>
      <c r="B217" t="s">
        <v>53</v>
      </c>
      <c r="C217" t="s">
        <v>24</v>
      </c>
      <c r="D217">
        <v>856</v>
      </c>
      <c r="E217" s="1">
        <v>5797</v>
      </c>
      <c r="F217" s="2">
        <v>65673</v>
      </c>
    </row>
    <row r="218" spans="1:6" x14ac:dyDescent="0.35">
      <c r="A218">
        <v>2020</v>
      </c>
      <c r="B218" t="s">
        <v>53</v>
      </c>
      <c r="C218" t="s">
        <v>25</v>
      </c>
      <c r="D218" s="1">
        <v>1071</v>
      </c>
      <c r="E218" s="1">
        <v>16165</v>
      </c>
      <c r="F218" s="2">
        <v>76361</v>
      </c>
    </row>
    <row r="219" spans="1:6" x14ac:dyDescent="0.35">
      <c r="A219">
        <v>2020</v>
      </c>
      <c r="B219" t="s">
        <v>53</v>
      </c>
      <c r="C219" t="s">
        <v>26</v>
      </c>
      <c r="D219" s="1">
        <v>1609</v>
      </c>
      <c r="E219" s="1">
        <v>13306</v>
      </c>
      <c r="F219" s="2">
        <v>88353</v>
      </c>
    </row>
    <row r="220" spans="1:6" x14ac:dyDescent="0.35">
      <c r="A220">
        <v>2020</v>
      </c>
      <c r="B220" t="s">
        <v>53</v>
      </c>
      <c r="C220" t="s">
        <v>27</v>
      </c>
      <c r="D220" s="1">
        <v>1168</v>
      </c>
      <c r="E220" s="1">
        <v>11735</v>
      </c>
      <c r="F220" s="2">
        <v>107194</v>
      </c>
    </row>
    <row r="221" spans="1:6" x14ac:dyDescent="0.35">
      <c r="A221">
        <v>2020</v>
      </c>
      <c r="B221" t="s">
        <v>53</v>
      </c>
      <c r="C221" t="s">
        <v>28</v>
      </c>
      <c r="D221" s="1">
        <v>3965</v>
      </c>
      <c r="E221" s="1">
        <v>67885</v>
      </c>
      <c r="F221" s="2">
        <v>130541</v>
      </c>
    </row>
    <row r="222" spans="1:6" x14ac:dyDescent="0.35">
      <c r="A222">
        <v>2020</v>
      </c>
      <c r="B222" t="s">
        <v>53</v>
      </c>
      <c r="C222" t="s">
        <v>29</v>
      </c>
      <c r="D222" s="1">
        <v>1108</v>
      </c>
      <c r="E222" s="1">
        <v>9076</v>
      </c>
      <c r="F222" s="2">
        <v>62393</v>
      </c>
    </row>
    <row r="223" spans="1:6" x14ac:dyDescent="0.35">
      <c r="A223">
        <v>2020</v>
      </c>
      <c r="B223" t="s">
        <v>53</v>
      </c>
      <c r="C223" t="s">
        <v>30</v>
      </c>
      <c r="D223" s="1">
        <v>14380</v>
      </c>
      <c r="E223" s="1">
        <v>267749</v>
      </c>
      <c r="F223" s="2">
        <v>154357</v>
      </c>
    </row>
    <row r="224" spans="1:6" x14ac:dyDescent="0.35">
      <c r="A224">
        <v>2020</v>
      </c>
      <c r="B224" t="s">
        <v>53</v>
      </c>
      <c r="C224" t="s">
        <v>31</v>
      </c>
      <c r="D224" s="1">
        <v>6302</v>
      </c>
      <c r="E224" s="1">
        <v>73440</v>
      </c>
      <c r="F224" s="2">
        <v>96207</v>
      </c>
    </row>
    <row r="225" spans="1:6" x14ac:dyDescent="0.35">
      <c r="A225">
        <v>2020</v>
      </c>
      <c r="B225" t="s">
        <v>53</v>
      </c>
      <c r="C225" t="s">
        <v>32</v>
      </c>
      <c r="D225">
        <v>417</v>
      </c>
      <c r="E225" s="1">
        <v>5780</v>
      </c>
      <c r="F225" s="2">
        <v>79624</v>
      </c>
    </row>
    <row r="226" spans="1:6" x14ac:dyDescent="0.35">
      <c r="A226">
        <v>2020</v>
      </c>
      <c r="B226" t="s">
        <v>53</v>
      </c>
      <c r="C226" t="s">
        <v>33</v>
      </c>
      <c r="D226" s="1">
        <v>5303</v>
      </c>
      <c r="E226" s="1">
        <v>63865</v>
      </c>
      <c r="F226" s="2">
        <v>80052</v>
      </c>
    </row>
    <row r="227" spans="1:6" x14ac:dyDescent="0.35">
      <c r="A227">
        <v>2020</v>
      </c>
      <c r="B227" t="s">
        <v>53</v>
      </c>
      <c r="C227" t="s">
        <v>34</v>
      </c>
      <c r="D227" s="1">
        <v>1572</v>
      </c>
      <c r="E227" s="1">
        <v>18256</v>
      </c>
      <c r="F227" s="2">
        <v>63710</v>
      </c>
    </row>
    <row r="228" spans="1:6" x14ac:dyDescent="0.35">
      <c r="A228">
        <v>2020</v>
      </c>
      <c r="B228" t="s">
        <v>53</v>
      </c>
      <c r="C228" t="s">
        <v>35</v>
      </c>
      <c r="D228" s="1">
        <v>4605</v>
      </c>
      <c r="E228" s="1">
        <v>33218</v>
      </c>
      <c r="F228" s="2">
        <v>101737</v>
      </c>
    </row>
    <row r="229" spans="1:6" x14ac:dyDescent="0.35">
      <c r="A229">
        <v>2020</v>
      </c>
      <c r="B229" t="s">
        <v>53</v>
      </c>
      <c r="C229" t="s">
        <v>36</v>
      </c>
      <c r="D229" s="1">
        <v>5891</v>
      </c>
      <c r="E229" s="1">
        <v>82872</v>
      </c>
      <c r="F229" s="2">
        <v>107388</v>
      </c>
    </row>
    <row r="230" spans="1:6" x14ac:dyDescent="0.35">
      <c r="A230">
        <v>2020</v>
      </c>
      <c r="B230" t="s">
        <v>53</v>
      </c>
      <c r="C230" t="s">
        <v>37</v>
      </c>
      <c r="D230">
        <v>762</v>
      </c>
      <c r="E230" s="1">
        <v>5243</v>
      </c>
      <c r="F230" s="2">
        <v>87286</v>
      </c>
    </row>
    <row r="231" spans="1:6" x14ac:dyDescent="0.35">
      <c r="A231">
        <v>2020</v>
      </c>
      <c r="B231" t="s">
        <v>53</v>
      </c>
      <c r="C231" t="s">
        <v>38</v>
      </c>
      <c r="D231" s="1">
        <v>3216</v>
      </c>
      <c r="E231" s="1">
        <v>24744</v>
      </c>
      <c r="F231" s="2">
        <v>73562</v>
      </c>
    </row>
    <row r="232" spans="1:6" x14ac:dyDescent="0.35">
      <c r="A232">
        <v>2020</v>
      </c>
      <c r="B232" t="s">
        <v>53</v>
      </c>
      <c r="C232" t="s">
        <v>39</v>
      </c>
      <c r="D232">
        <v>606</v>
      </c>
      <c r="E232" s="1">
        <v>5074</v>
      </c>
      <c r="F232" s="2">
        <v>58069</v>
      </c>
    </row>
    <row r="233" spans="1:6" x14ac:dyDescent="0.35">
      <c r="A233">
        <v>2020</v>
      </c>
      <c r="B233" t="s">
        <v>53</v>
      </c>
      <c r="C233" t="s">
        <v>40</v>
      </c>
      <c r="D233" s="1">
        <v>4525</v>
      </c>
      <c r="E233" s="1">
        <v>42929</v>
      </c>
      <c r="F233" s="2">
        <v>81293</v>
      </c>
    </row>
    <row r="234" spans="1:6" x14ac:dyDescent="0.35">
      <c r="A234">
        <v>2020</v>
      </c>
      <c r="B234" t="s">
        <v>53</v>
      </c>
      <c r="C234" t="s">
        <v>41</v>
      </c>
      <c r="D234" s="1">
        <v>11822</v>
      </c>
      <c r="E234" s="1">
        <v>198521</v>
      </c>
      <c r="F234" s="2">
        <v>102835</v>
      </c>
    </row>
    <row r="235" spans="1:6" x14ac:dyDescent="0.35">
      <c r="A235">
        <v>2020</v>
      </c>
      <c r="B235" t="s">
        <v>53</v>
      </c>
      <c r="C235" t="s">
        <v>42</v>
      </c>
      <c r="D235" s="1">
        <v>3177</v>
      </c>
      <c r="E235" s="1">
        <v>37222</v>
      </c>
      <c r="F235" s="2">
        <v>96974</v>
      </c>
    </row>
    <row r="236" spans="1:6" x14ac:dyDescent="0.35">
      <c r="A236">
        <v>2020</v>
      </c>
      <c r="B236" t="s">
        <v>53</v>
      </c>
      <c r="C236" t="s">
        <v>43</v>
      </c>
      <c r="D236">
        <v>584</v>
      </c>
      <c r="E236" s="1">
        <v>3961</v>
      </c>
      <c r="F236" s="2">
        <v>68605</v>
      </c>
    </row>
    <row r="237" spans="1:6" x14ac:dyDescent="0.35">
      <c r="A237">
        <v>2020</v>
      </c>
      <c r="B237" t="s">
        <v>53</v>
      </c>
      <c r="C237" t="s">
        <v>44</v>
      </c>
      <c r="D237" s="1">
        <v>4875</v>
      </c>
      <c r="E237" s="1">
        <v>64840</v>
      </c>
      <c r="F237" s="2">
        <v>117848</v>
      </c>
    </row>
    <row r="238" spans="1:6" x14ac:dyDescent="0.35">
      <c r="A238">
        <v>2020</v>
      </c>
      <c r="B238" t="s">
        <v>53</v>
      </c>
      <c r="C238" t="s">
        <v>45</v>
      </c>
      <c r="D238" s="1">
        <v>5419</v>
      </c>
      <c r="E238" s="1">
        <v>148556</v>
      </c>
      <c r="F238" s="2">
        <v>242273</v>
      </c>
    </row>
    <row r="239" spans="1:6" x14ac:dyDescent="0.35">
      <c r="A239">
        <v>2020</v>
      </c>
      <c r="B239" t="s">
        <v>53</v>
      </c>
      <c r="C239" t="s">
        <v>46</v>
      </c>
      <c r="D239">
        <v>825</v>
      </c>
      <c r="E239" s="1">
        <v>7215</v>
      </c>
      <c r="F239" s="2">
        <v>58063</v>
      </c>
    </row>
    <row r="240" spans="1:6" x14ac:dyDescent="0.35">
      <c r="A240">
        <v>2020</v>
      </c>
      <c r="B240" t="s">
        <v>53</v>
      </c>
      <c r="C240" t="s">
        <v>47</v>
      </c>
      <c r="D240" s="1">
        <v>2400</v>
      </c>
      <c r="E240" s="1">
        <v>44846</v>
      </c>
      <c r="F240" s="2">
        <v>88336</v>
      </c>
    </row>
    <row r="241" spans="1:6" x14ac:dyDescent="0.35">
      <c r="A241">
        <v>2020</v>
      </c>
      <c r="B241" t="s">
        <v>53</v>
      </c>
      <c r="C241" t="s">
        <v>48</v>
      </c>
      <c r="D241">
        <v>428</v>
      </c>
      <c r="E241" s="1">
        <v>3000</v>
      </c>
      <c r="F241" s="2">
        <v>54299</v>
      </c>
    </row>
    <row r="242" spans="1:6" x14ac:dyDescent="0.35">
      <c r="A242">
        <v>2020</v>
      </c>
      <c r="B242" t="s">
        <v>56</v>
      </c>
      <c r="C242" t="s">
        <v>1</v>
      </c>
      <c r="D242" s="1">
        <v>13880</v>
      </c>
      <c r="E242" s="1">
        <v>94715</v>
      </c>
      <c r="F242" s="2">
        <v>75982</v>
      </c>
    </row>
    <row r="243" spans="1:6" x14ac:dyDescent="0.35">
      <c r="A243">
        <v>2020</v>
      </c>
      <c r="B243" t="s">
        <v>56</v>
      </c>
      <c r="C243" t="s">
        <v>2</v>
      </c>
      <c r="D243" s="1">
        <v>20707</v>
      </c>
      <c r="E243" s="1">
        <v>225922</v>
      </c>
      <c r="F243" s="2">
        <v>82956</v>
      </c>
    </row>
    <row r="244" spans="1:6" x14ac:dyDescent="0.35">
      <c r="A244">
        <v>2020</v>
      </c>
      <c r="B244" t="s">
        <v>56</v>
      </c>
      <c r="C244" t="s">
        <v>3</v>
      </c>
      <c r="D244" s="1">
        <v>8906</v>
      </c>
      <c r="E244" s="1">
        <v>51950</v>
      </c>
      <c r="F244" s="2">
        <v>65321</v>
      </c>
    </row>
    <row r="245" spans="1:6" x14ac:dyDescent="0.35">
      <c r="A245">
        <v>2020</v>
      </c>
      <c r="B245" t="s">
        <v>56</v>
      </c>
      <c r="C245" t="s">
        <v>4</v>
      </c>
      <c r="D245" s="1">
        <v>112775</v>
      </c>
      <c r="E245" s="1">
        <v>817007</v>
      </c>
      <c r="F245" s="2">
        <v>124107</v>
      </c>
    </row>
    <row r="246" spans="1:6" x14ac:dyDescent="0.35">
      <c r="A246">
        <v>2020</v>
      </c>
      <c r="B246" t="s">
        <v>56</v>
      </c>
      <c r="C246" t="s">
        <v>5</v>
      </c>
      <c r="D246" s="1">
        <v>25139</v>
      </c>
      <c r="E246" s="1">
        <v>165271</v>
      </c>
      <c r="F246" s="2">
        <v>97276</v>
      </c>
    </row>
    <row r="247" spans="1:6" x14ac:dyDescent="0.35">
      <c r="A247">
        <v>2020</v>
      </c>
      <c r="B247" t="s">
        <v>56</v>
      </c>
      <c r="C247" t="s">
        <v>6</v>
      </c>
      <c r="D247" s="1">
        <v>11223</v>
      </c>
      <c r="E247" s="1">
        <v>118168</v>
      </c>
      <c r="F247" s="2">
        <v>165086</v>
      </c>
    </row>
    <row r="248" spans="1:6" x14ac:dyDescent="0.35">
      <c r="A248">
        <v>2020</v>
      </c>
      <c r="B248" t="s">
        <v>56</v>
      </c>
      <c r="C248" t="s">
        <v>7</v>
      </c>
      <c r="D248" s="1">
        <v>3005</v>
      </c>
      <c r="E248" s="1">
        <v>47390</v>
      </c>
      <c r="F248" s="2">
        <v>103154</v>
      </c>
    </row>
    <row r="249" spans="1:6" x14ac:dyDescent="0.35">
      <c r="A249">
        <v>2020</v>
      </c>
      <c r="B249" t="s">
        <v>56</v>
      </c>
      <c r="C249" t="s">
        <v>8</v>
      </c>
      <c r="D249" s="1">
        <v>80956</v>
      </c>
      <c r="E249" s="1">
        <v>586706</v>
      </c>
      <c r="F249" s="2">
        <v>84307</v>
      </c>
    </row>
    <row r="250" spans="1:6" x14ac:dyDescent="0.35">
      <c r="A250">
        <v>2020</v>
      </c>
      <c r="B250" t="s">
        <v>56</v>
      </c>
      <c r="C250" t="s">
        <v>9</v>
      </c>
      <c r="D250" s="1">
        <v>28810</v>
      </c>
      <c r="E250" s="1">
        <v>242175</v>
      </c>
      <c r="F250" s="2">
        <v>93145</v>
      </c>
    </row>
    <row r="251" spans="1:6" x14ac:dyDescent="0.35">
      <c r="A251">
        <v>2020</v>
      </c>
      <c r="B251" t="s">
        <v>56</v>
      </c>
      <c r="C251" t="s">
        <v>10</v>
      </c>
      <c r="D251" s="1">
        <v>6508</v>
      </c>
      <c r="E251" s="1">
        <v>34249</v>
      </c>
      <c r="F251" s="2">
        <v>68833</v>
      </c>
    </row>
    <row r="252" spans="1:6" x14ac:dyDescent="0.35">
      <c r="A252">
        <v>2020</v>
      </c>
      <c r="B252" t="s">
        <v>56</v>
      </c>
      <c r="C252" t="s">
        <v>11</v>
      </c>
      <c r="D252" s="1">
        <v>33063</v>
      </c>
      <c r="E252" s="1">
        <v>376539</v>
      </c>
      <c r="F252" s="2">
        <v>121634</v>
      </c>
    </row>
    <row r="253" spans="1:6" x14ac:dyDescent="0.35">
      <c r="A253">
        <v>2020</v>
      </c>
      <c r="B253" t="s">
        <v>56</v>
      </c>
      <c r="C253" t="s">
        <v>12</v>
      </c>
      <c r="D253" s="1">
        <v>17574</v>
      </c>
      <c r="E253" s="1">
        <v>133449</v>
      </c>
      <c r="F253" s="2">
        <v>72283</v>
      </c>
    </row>
    <row r="254" spans="1:6" x14ac:dyDescent="0.35">
      <c r="A254">
        <v>2020</v>
      </c>
      <c r="B254" t="s">
        <v>56</v>
      </c>
      <c r="C254" t="s">
        <v>13</v>
      </c>
      <c r="D254" s="1">
        <v>10731</v>
      </c>
      <c r="E254" s="1">
        <v>109283</v>
      </c>
      <c r="F254" s="2">
        <v>81131</v>
      </c>
    </row>
    <row r="255" spans="1:6" x14ac:dyDescent="0.35">
      <c r="A255">
        <v>2020</v>
      </c>
      <c r="B255" t="s">
        <v>56</v>
      </c>
      <c r="C255" t="s">
        <v>14</v>
      </c>
      <c r="D255" s="1">
        <v>8752</v>
      </c>
      <c r="E255" s="1">
        <v>73310</v>
      </c>
      <c r="F255" s="2">
        <v>75889</v>
      </c>
    </row>
    <row r="256" spans="1:6" x14ac:dyDescent="0.35">
      <c r="A256">
        <v>2020</v>
      </c>
      <c r="B256" t="s">
        <v>56</v>
      </c>
      <c r="C256" t="s">
        <v>15</v>
      </c>
      <c r="D256" s="1">
        <v>11729</v>
      </c>
      <c r="E256" s="1">
        <v>92079</v>
      </c>
      <c r="F256" s="2">
        <v>75177</v>
      </c>
    </row>
    <row r="257" spans="1:6" x14ac:dyDescent="0.35">
      <c r="A257">
        <v>2020</v>
      </c>
      <c r="B257" t="s">
        <v>56</v>
      </c>
      <c r="C257" t="s">
        <v>16</v>
      </c>
      <c r="D257" s="1">
        <v>14229</v>
      </c>
      <c r="E257" s="1">
        <v>81149</v>
      </c>
      <c r="F257" s="2">
        <v>69409</v>
      </c>
    </row>
    <row r="258" spans="1:6" x14ac:dyDescent="0.35">
      <c r="A258">
        <v>2020</v>
      </c>
      <c r="B258" t="s">
        <v>56</v>
      </c>
      <c r="C258" t="s">
        <v>17</v>
      </c>
      <c r="D258" s="1">
        <v>3926</v>
      </c>
      <c r="E258" s="1">
        <v>30107</v>
      </c>
      <c r="F258" s="2">
        <v>75870</v>
      </c>
    </row>
    <row r="259" spans="1:6" x14ac:dyDescent="0.35">
      <c r="A259">
        <v>2020</v>
      </c>
      <c r="B259" t="s">
        <v>56</v>
      </c>
      <c r="C259" t="s">
        <v>18</v>
      </c>
      <c r="D259" s="1">
        <v>15692</v>
      </c>
      <c r="E259" s="1">
        <v>129771</v>
      </c>
      <c r="F259" s="2">
        <v>110159</v>
      </c>
    </row>
    <row r="260" spans="1:6" x14ac:dyDescent="0.35">
      <c r="A260">
        <v>2020</v>
      </c>
      <c r="B260" t="s">
        <v>56</v>
      </c>
      <c r="C260" t="s">
        <v>19</v>
      </c>
      <c r="D260" s="1">
        <v>18137</v>
      </c>
      <c r="E260" s="1">
        <v>212062</v>
      </c>
      <c r="F260" s="2">
        <v>159120</v>
      </c>
    </row>
    <row r="261" spans="1:6" x14ac:dyDescent="0.35">
      <c r="A261">
        <v>2020</v>
      </c>
      <c r="B261" t="s">
        <v>56</v>
      </c>
      <c r="C261" t="s">
        <v>20</v>
      </c>
      <c r="D261" s="1">
        <v>20626</v>
      </c>
      <c r="E261" s="1">
        <v>207448</v>
      </c>
      <c r="F261" s="2">
        <v>81720</v>
      </c>
    </row>
    <row r="262" spans="1:6" x14ac:dyDescent="0.35">
      <c r="A262">
        <v>2020</v>
      </c>
      <c r="B262" t="s">
        <v>56</v>
      </c>
      <c r="C262" t="s">
        <v>21</v>
      </c>
      <c r="D262" s="1">
        <v>16134</v>
      </c>
      <c r="E262" s="1">
        <v>179728</v>
      </c>
      <c r="F262" s="2">
        <v>104989</v>
      </c>
    </row>
    <row r="263" spans="1:6" x14ac:dyDescent="0.35">
      <c r="A263">
        <v>2020</v>
      </c>
      <c r="B263" t="s">
        <v>56</v>
      </c>
      <c r="C263" t="s">
        <v>22</v>
      </c>
      <c r="D263" s="1">
        <v>7984</v>
      </c>
      <c r="E263" s="1">
        <v>41912</v>
      </c>
      <c r="F263" s="2">
        <v>59263</v>
      </c>
    </row>
    <row r="264" spans="1:6" x14ac:dyDescent="0.35">
      <c r="A264">
        <v>2020</v>
      </c>
      <c r="B264" t="s">
        <v>56</v>
      </c>
      <c r="C264" t="s">
        <v>23</v>
      </c>
      <c r="D264" s="1">
        <v>18815</v>
      </c>
      <c r="E264" s="1">
        <v>165564</v>
      </c>
      <c r="F264" s="2">
        <v>82664</v>
      </c>
    </row>
    <row r="265" spans="1:6" x14ac:dyDescent="0.35">
      <c r="A265">
        <v>2020</v>
      </c>
      <c r="B265" t="s">
        <v>56</v>
      </c>
      <c r="C265" t="s">
        <v>24</v>
      </c>
      <c r="D265" s="1">
        <v>4557</v>
      </c>
      <c r="E265" s="1">
        <v>21986</v>
      </c>
      <c r="F265" s="2">
        <v>67330</v>
      </c>
    </row>
    <row r="266" spans="1:6" x14ac:dyDescent="0.35">
      <c r="A266">
        <v>2020</v>
      </c>
      <c r="B266" t="s">
        <v>56</v>
      </c>
      <c r="C266" t="s">
        <v>25</v>
      </c>
      <c r="D266" s="1">
        <v>7000</v>
      </c>
      <c r="E266" s="1">
        <v>66588</v>
      </c>
      <c r="F266" s="2">
        <v>74942</v>
      </c>
    </row>
    <row r="267" spans="1:6" x14ac:dyDescent="0.35">
      <c r="A267">
        <v>2020</v>
      </c>
      <c r="B267" t="s">
        <v>56</v>
      </c>
      <c r="C267" t="s">
        <v>26</v>
      </c>
      <c r="D267" s="1">
        <v>9293</v>
      </c>
      <c r="E267" s="1">
        <v>62325</v>
      </c>
      <c r="F267" s="2">
        <v>79236</v>
      </c>
    </row>
    <row r="268" spans="1:6" x14ac:dyDescent="0.35">
      <c r="A268">
        <v>2020</v>
      </c>
      <c r="B268" t="s">
        <v>56</v>
      </c>
      <c r="C268" t="s">
        <v>27</v>
      </c>
      <c r="D268" s="1">
        <v>3946</v>
      </c>
      <c r="E268" s="1">
        <v>33027</v>
      </c>
      <c r="F268" s="2">
        <v>109751</v>
      </c>
    </row>
    <row r="269" spans="1:6" x14ac:dyDescent="0.35">
      <c r="A269">
        <v>2020</v>
      </c>
      <c r="B269" t="s">
        <v>56</v>
      </c>
      <c r="C269" t="s">
        <v>28</v>
      </c>
      <c r="D269" s="1">
        <v>20469</v>
      </c>
      <c r="E269" s="1">
        <v>235676</v>
      </c>
      <c r="F269" s="2">
        <v>127870</v>
      </c>
    </row>
    <row r="270" spans="1:6" x14ac:dyDescent="0.35">
      <c r="A270">
        <v>2020</v>
      </c>
      <c r="B270" t="s">
        <v>56</v>
      </c>
      <c r="C270" t="s">
        <v>29</v>
      </c>
      <c r="D270" s="1">
        <v>5600</v>
      </c>
      <c r="E270" s="1">
        <v>32608</v>
      </c>
      <c r="F270" s="2">
        <v>62343</v>
      </c>
    </row>
    <row r="271" spans="1:6" x14ac:dyDescent="0.35">
      <c r="A271">
        <v>2020</v>
      </c>
      <c r="B271" t="s">
        <v>56</v>
      </c>
      <c r="C271" t="s">
        <v>30</v>
      </c>
      <c r="D271" s="1">
        <v>63948</v>
      </c>
      <c r="E271" s="1">
        <v>700031</v>
      </c>
      <c r="F271" s="2">
        <v>207014</v>
      </c>
    </row>
    <row r="272" spans="1:6" x14ac:dyDescent="0.35">
      <c r="A272">
        <v>2020</v>
      </c>
      <c r="B272" t="s">
        <v>56</v>
      </c>
      <c r="C272" t="s">
        <v>31</v>
      </c>
      <c r="D272" s="1">
        <v>30275</v>
      </c>
      <c r="E272" s="1">
        <v>251672</v>
      </c>
      <c r="F272" s="2">
        <v>97234</v>
      </c>
    </row>
    <row r="273" spans="1:6" x14ac:dyDescent="0.35">
      <c r="A273">
        <v>2020</v>
      </c>
      <c r="B273" t="s">
        <v>56</v>
      </c>
      <c r="C273" t="s">
        <v>32</v>
      </c>
      <c r="D273" s="1">
        <v>3042</v>
      </c>
      <c r="E273" s="1">
        <v>22496</v>
      </c>
      <c r="F273" s="2">
        <v>69243</v>
      </c>
    </row>
    <row r="274" spans="1:6" x14ac:dyDescent="0.35">
      <c r="A274">
        <v>2020</v>
      </c>
      <c r="B274" t="s">
        <v>56</v>
      </c>
      <c r="C274" t="s">
        <v>33</v>
      </c>
      <c r="D274" s="1">
        <v>29307</v>
      </c>
      <c r="E274" s="1">
        <v>287990</v>
      </c>
      <c r="F274" s="2">
        <v>82336</v>
      </c>
    </row>
    <row r="275" spans="1:6" x14ac:dyDescent="0.35">
      <c r="A275">
        <v>2020</v>
      </c>
      <c r="B275" t="s">
        <v>56</v>
      </c>
      <c r="C275" t="s">
        <v>34</v>
      </c>
      <c r="D275" s="1">
        <v>11701</v>
      </c>
      <c r="E275" s="1">
        <v>74614</v>
      </c>
      <c r="F275" s="2">
        <v>64030</v>
      </c>
    </row>
    <row r="276" spans="1:6" x14ac:dyDescent="0.35">
      <c r="A276">
        <v>2020</v>
      </c>
      <c r="B276" t="s">
        <v>56</v>
      </c>
      <c r="C276" t="s">
        <v>35</v>
      </c>
      <c r="D276" s="1">
        <v>13352</v>
      </c>
      <c r="E276" s="1">
        <v>83937</v>
      </c>
      <c r="F276" s="2">
        <v>80727</v>
      </c>
    </row>
    <row r="277" spans="1:6" x14ac:dyDescent="0.35">
      <c r="A277">
        <v>2020</v>
      </c>
      <c r="B277" t="s">
        <v>56</v>
      </c>
      <c r="C277" t="s">
        <v>36</v>
      </c>
      <c r="D277" s="1">
        <v>29714</v>
      </c>
      <c r="E277" s="1">
        <v>325571</v>
      </c>
      <c r="F277" s="2">
        <v>97231</v>
      </c>
    </row>
    <row r="278" spans="1:6" x14ac:dyDescent="0.35">
      <c r="A278">
        <v>2020</v>
      </c>
      <c r="B278" t="s">
        <v>56</v>
      </c>
      <c r="C278" t="s">
        <v>37</v>
      </c>
      <c r="D278" s="1">
        <v>3038</v>
      </c>
      <c r="E278" s="1">
        <v>31304</v>
      </c>
      <c r="F278" s="2">
        <v>100316</v>
      </c>
    </row>
    <row r="279" spans="1:6" x14ac:dyDescent="0.35">
      <c r="A279">
        <v>2020</v>
      </c>
      <c r="B279" t="s">
        <v>56</v>
      </c>
      <c r="C279" t="s">
        <v>38</v>
      </c>
      <c r="D279" s="1">
        <v>15078</v>
      </c>
      <c r="E279" s="1">
        <v>101637</v>
      </c>
      <c r="F279" s="2">
        <v>71361</v>
      </c>
    </row>
    <row r="280" spans="1:6" x14ac:dyDescent="0.35">
      <c r="A280">
        <v>2020</v>
      </c>
      <c r="B280" t="s">
        <v>56</v>
      </c>
      <c r="C280" t="s">
        <v>39</v>
      </c>
      <c r="D280" s="1">
        <v>3397</v>
      </c>
      <c r="E280" s="1">
        <v>27809</v>
      </c>
      <c r="F280" s="2">
        <v>69345</v>
      </c>
    </row>
    <row r="281" spans="1:6" x14ac:dyDescent="0.35">
      <c r="A281">
        <v>2020</v>
      </c>
      <c r="B281" t="s">
        <v>56</v>
      </c>
      <c r="C281" t="s">
        <v>40</v>
      </c>
      <c r="D281" s="1">
        <v>16893</v>
      </c>
      <c r="E281" s="1">
        <v>155926</v>
      </c>
      <c r="F281" s="2">
        <v>85116</v>
      </c>
    </row>
    <row r="282" spans="1:6" x14ac:dyDescent="0.35">
      <c r="A282">
        <v>2020</v>
      </c>
      <c r="B282" t="s">
        <v>56</v>
      </c>
      <c r="C282" t="s">
        <v>41</v>
      </c>
      <c r="D282" s="1">
        <v>78940</v>
      </c>
      <c r="E282" s="1">
        <v>778554</v>
      </c>
      <c r="F282" s="2">
        <v>92477</v>
      </c>
    </row>
    <row r="283" spans="1:6" x14ac:dyDescent="0.35">
      <c r="A283">
        <v>2020</v>
      </c>
      <c r="B283" t="s">
        <v>56</v>
      </c>
      <c r="C283" t="s">
        <v>42</v>
      </c>
      <c r="D283" s="1">
        <v>12580</v>
      </c>
      <c r="E283" s="1">
        <v>93379</v>
      </c>
      <c r="F283" s="2">
        <v>79806</v>
      </c>
    </row>
    <row r="284" spans="1:6" x14ac:dyDescent="0.35">
      <c r="A284">
        <v>2020</v>
      </c>
      <c r="B284" t="s">
        <v>56</v>
      </c>
      <c r="C284" t="s">
        <v>43</v>
      </c>
      <c r="D284" s="1">
        <v>1719</v>
      </c>
      <c r="E284" s="1">
        <v>11578</v>
      </c>
      <c r="F284" s="2">
        <v>80135</v>
      </c>
    </row>
    <row r="285" spans="1:6" x14ac:dyDescent="0.35">
      <c r="A285">
        <v>2020</v>
      </c>
      <c r="B285" t="s">
        <v>56</v>
      </c>
      <c r="C285" t="s">
        <v>44</v>
      </c>
      <c r="D285" s="1">
        <v>22750</v>
      </c>
      <c r="E285" s="1">
        <v>195671</v>
      </c>
      <c r="F285" s="2">
        <v>97246</v>
      </c>
    </row>
    <row r="286" spans="1:6" x14ac:dyDescent="0.35">
      <c r="A286">
        <v>2020</v>
      </c>
      <c r="B286" t="s">
        <v>56</v>
      </c>
      <c r="C286" t="s">
        <v>45</v>
      </c>
      <c r="D286" s="1">
        <v>18828</v>
      </c>
      <c r="E286" s="1">
        <v>147772</v>
      </c>
      <c r="F286" s="2">
        <v>95674</v>
      </c>
    </row>
    <row r="287" spans="1:6" x14ac:dyDescent="0.35">
      <c r="A287">
        <v>2020</v>
      </c>
      <c r="B287" t="s">
        <v>56</v>
      </c>
      <c r="C287" t="s">
        <v>46</v>
      </c>
      <c r="D287" s="1">
        <v>4042</v>
      </c>
      <c r="E287" s="1">
        <v>24190</v>
      </c>
      <c r="F287" s="2">
        <v>56764</v>
      </c>
    </row>
    <row r="288" spans="1:6" x14ac:dyDescent="0.35">
      <c r="A288">
        <v>2020</v>
      </c>
      <c r="B288" t="s">
        <v>56</v>
      </c>
      <c r="C288" t="s">
        <v>47</v>
      </c>
      <c r="D288" s="1">
        <v>14688</v>
      </c>
      <c r="E288" s="1">
        <v>148829</v>
      </c>
      <c r="F288" s="2">
        <v>80470</v>
      </c>
    </row>
    <row r="289" spans="1:6" x14ac:dyDescent="0.35">
      <c r="A289">
        <v>2020</v>
      </c>
      <c r="B289" t="s">
        <v>56</v>
      </c>
      <c r="C289" t="s">
        <v>48</v>
      </c>
      <c r="D289" s="1">
        <v>2353</v>
      </c>
      <c r="E289" s="1">
        <v>10919</v>
      </c>
      <c r="F289" s="2">
        <v>64480</v>
      </c>
    </row>
    <row r="290" spans="1:6" x14ac:dyDescent="0.35">
      <c r="A290">
        <v>2020</v>
      </c>
      <c r="B290" t="s">
        <v>57</v>
      </c>
      <c r="C290" t="s">
        <v>1</v>
      </c>
      <c r="D290" s="1">
        <v>22875</v>
      </c>
      <c r="E290" s="1">
        <v>242419</v>
      </c>
      <c r="F290" s="2">
        <v>62111</v>
      </c>
    </row>
    <row r="291" spans="1:6" x14ac:dyDescent="0.35">
      <c r="A291">
        <v>2020</v>
      </c>
      <c r="B291" t="s">
        <v>57</v>
      </c>
      <c r="C291" t="s">
        <v>2</v>
      </c>
      <c r="D291" s="1">
        <v>40867</v>
      </c>
      <c r="E291" s="1">
        <v>431379</v>
      </c>
      <c r="F291" s="2">
        <v>63180</v>
      </c>
    </row>
    <row r="292" spans="1:6" x14ac:dyDescent="0.35">
      <c r="A292">
        <v>2020</v>
      </c>
      <c r="B292" t="s">
        <v>57</v>
      </c>
      <c r="C292" t="s">
        <v>3</v>
      </c>
      <c r="D292" s="1">
        <v>15490</v>
      </c>
      <c r="E292" s="1">
        <v>139300</v>
      </c>
      <c r="F292" s="2">
        <v>68067</v>
      </c>
    </row>
    <row r="293" spans="1:6" x14ac:dyDescent="0.35">
      <c r="A293">
        <v>2020</v>
      </c>
      <c r="B293" t="s">
        <v>57</v>
      </c>
      <c r="C293" t="s">
        <v>4</v>
      </c>
      <c r="D293" s="1">
        <v>221985</v>
      </c>
      <c r="E293" s="1">
        <v>2600604</v>
      </c>
      <c r="F293" s="2">
        <v>106486</v>
      </c>
    </row>
    <row r="294" spans="1:6" x14ac:dyDescent="0.35">
      <c r="A294">
        <v>2020</v>
      </c>
      <c r="B294" t="s">
        <v>57</v>
      </c>
      <c r="C294" t="s">
        <v>5</v>
      </c>
      <c r="D294" s="1">
        <v>58286</v>
      </c>
      <c r="E294" s="1">
        <v>430367</v>
      </c>
      <c r="F294" s="2">
        <v>90744</v>
      </c>
    </row>
    <row r="295" spans="1:6" x14ac:dyDescent="0.35">
      <c r="A295">
        <v>2020</v>
      </c>
      <c r="B295" t="s">
        <v>57</v>
      </c>
      <c r="C295" t="s">
        <v>6</v>
      </c>
      <c r="D295" s="1">
        <v>24131</v>
      </c>
      <c r="E295" s="1">
        <v>206629</v>
      </c>
      <c r="F295" s="2">
        <v>95714</v>
      </c>
    </row>
    <row r="296" spans="1:6" x14ac:dyDescent="0.35">
      <c r="A296">
        <v>2020</v>
      </c>
      <c r="B296" t="s">
        <v>57</v>
      </c>
      <c r="C296" t="s">
        <v>7</v>
      </c>
      <c r="D296" s="1">
        <v>9766</v>
      </c>
      <c r="E296" s="1">
        <v>61669</v>
      </c>
      <c r="F296" s="2">
        <v>85651</v>
      </c>
    </row>
    <row r="297" spans="1:6" x14ac:dyDescent="0.35">
      <c r="A297">
        <v>2020</v>
      </c>
      <c r="B297" t="s">
        <v>57</v>
      </c>
      <c r="C297" t="s">
        <v>8</v>
      </c>
      <c r="D297" s="1">
        <v>179893</v>
      </c>
      <c r="E297" s="1">
        <v>1358317</v>
      </c>
      <c r="F297" s="2">
        <v>68223</v>
      </c>
    </row>
    <row r="298" spans="1:6" x14ac:dyDescent="0.35">
      <c r="A298">
        <v>2020</v>
      </c>
      <c r="B298" t="s">
        <v>57</v>
      </c>
      <c r="C298" t="s">
        <v>9</v>
      </c>
      <c r="D298" s="1">
        <v>60683</v>
      </c>
      <c r="E298" s="1">
        <v>692452</v>
      </c>
      <c r="F298" s="2">
        <v>76331</v>
      </c>
    </row>
    <row r="299" spans="1:6" x14ac:dyDescent="0.35">
      <c r="A299">
        <v>2020</v>
      </c>
      <c r="B299" t="s">
        <v>57</v>
      </c>
      <c r="C299" t="s">
        <v>10</v>
      </c>
      <c r="D299" s="1">
        <v>12911</v>
      </c>
      <c r="E299" s="1">
        <v>97097</v>
      </c>
      <c r="F299" s="2">
        <v>59743</v>
      </c>
    </row>
    <row r="300" spans="1:6" x14ac:dyDescent="0.35">
      <c r="A300">
        <v>2020</v>
      </c>
      <c r="B300" t="s">
        <v>57</v>
      </c>
      <c r="C300" t="s">
        <v>11</v>
      </c>
      <c r="D300" s="1">
        <v>75904</v>
      </c>
      <c r="E300" s="1">
        <v>892150</v>
      </c>
      <c r="F300" s="2">
        <v>83889</v>
      </c>
    </row>
    <row r="301" spans="1:6" x14ac:dyDescent="0.35">
      <c r="A301">
        <v>2020</v>
      </c>
      <c r="B301" t="s">
        <v>57</v>
      </c>
      <c r="C301" t="s">
        <v>12</v>
      </c>
      <c r="D301" s="1">
        <v>32143</v>
      </c>
      <c r="E301" s="1">
        <v>326745</v>
      </c>
      <c r="F301" s="2">
        <v>58578</v>
      </c>
    </row>
    <row r="302" spans="1:6" x14ac:dyDescent="0.35">
      <c r="A302">
        <v>2020</v>
      </c>
      <c r="B302" t="s">
        <v>57</v>
      </c>
      <c r="C302" t="s">
        <v>13</v>
      </c>
      <c r="D302" s="1">
        <v>16706</v>
      </c>
      <c r="E302" s="1">
        <v>134822</v>
      </c>
      <c r="F302" s="2">
        <v>61793</v>
      </c>
    </row>
    <row r="303" spans="1:6" x14ac:dyDescent="0.35">
      <c r="A303">
        <v>2020</v>
      </c>
      <c r="B303" t="s">
        <v>57</v>
      </c>
      <c r="C303" t="s">
        <v>14</v>
      </c>
      <c r="D303" s="1">
        <v>16823</v>
      </c>
      <c r="E303" s="1">
        <v>168813</v>
      </c>
      <c r="F303" s="2">
        <v>69538</v>
      </c>
    </row>
    <row r="304" spans="1:6" x14ac:dyDescent="0.35">
      <c r="A304">
        <v>2020</v>
      </c>
      <c r="B304" t="s">
        <v>57</v>
      </c>
      <c r="C304" t="s">
        <v>15</v>
      </c>
      <c r="D304" s="1">
        <v>22329</v>
      </c>
      <c r="E304" s="1">
        <v>207575</v>
      </c>
      <c r="F304" s="2">
        <v>55987</v>
      </c>
    </row>
    <row r="305" spans="1:6" x14ac:dyDescent="0.35">
      <c r="A305">
        <v>2020</v>
      </c>
      <c r="B305" t="s">
        <v>57</v>
      </c>
      <c r="C305" t="s">
        <v>16</v>
      </c>
      <c r="D305" s="1">
        <v>26262</v>
      </c>
      <c r="E305" s="1">
        <v>204729</v>
      </c>
      <c r="F305" s="2">
        <v>60136</v>
      </c>
    </row>
    <row r="306" spans="1:6" x14ac:dyDescent="0.35">
      <c r="A306">
        <v>2020</v>
      </c>
      <c r="B306" t="s">
        <v>57</v>
      </c>
      <c r="C306" t="s">
        <v>17</v>
      </c>
      <c r="D306" s="1">
        <v>11267</v>
      </c>
      <c r="E306" s="1">
        <v>68952</v>
      </c>
      <c r="F306" s="2">
        <v>66178</v>
      </c>
    </row>
    <row r="307" spans="1:6" x14ac:dyDescent="0.35">
      <c r="A307">
        <v>2020</v>
      </c>
      <c r="B307" t="s">
        <v>57</v>
      </c>
      <c r="C307" t="s">
        <v>18</v>
      </c>
      <c r="D307" s="1">
        <v>44172</v>
      </c>
      <c r="E307" s="1">
        <v>441860</v>
      </c>
      <c r="F307" s="2">
        <v>88391</v>
      </c>
    </row>
    <row r="308" spans="1:6" x14ac:dyDescent="0.35">
      <c r="A308">
        <v>2020</v>
      </c>
      <c r="B308" t="s">
        <v>57</v>
      </c>
      <c r="C308" t="s">
        <v>19</v>
      </c>
      <c r="D308" s="1">
        <v>48428</v>
      </c>
      <c r="E308" s="1">
        <v>583792</v>
      </c>
      <c r="F308" s="2">
        <v>124638</v>
      </c>
    </row>
    <row r="309" spans="1:6" x14ac:dyDescent="0.35">
      <c r="A309">
        <v>2020</v>
      </c>
      <c r="B309" t="s">
        <v>57</v>
      </c>
      <c r="C309" t="s">
        <v>20</v>
      </c>
      <c r="D309" s="1">
        <v>46269</v>
      </c>
      <c r="E309" s="1">
        <v>599657</v>
      </c>
      <c r="F309" s="2">
        <v>76432</v>
      </c>
    </row>
    <row r="310" spans="1:6" x14ac:dyDescent="0.35">
      <c r="A310">
        <v>2020</v>
      </c>
      <c r="B310" t="s">
        <v>57</v>
      </c>
      <c r="C310" t="s">
        <v>21</v>
      </c>
      <c r="D310" s="1">
        <v>33603</v>
      </c>
      <c r="E310" s="1">
        <v>361183</v>
      </c>
      <c r="F310" s="2">
        <v>91033</v>
      </c>
    </row>
    <row r="311" spans="1:6" x14ac:dyDescent="0.35">
      <c r="A311">
        <v>2020</v>
      </c>
      <c r="B311" t="s">
        <v>57</v>
      </c>
      <c r="C311" t="s">
        <v>22</v>
      </c>
      <c r="D311" s="1">
        <v>12692</v>
      </c>
      <c r="E311" s="1">
        <v>107758</v>
      </c>
      <c r="F311" s="2">
        <v>45573</v>
      </c>
    </row>
    <row r="312" spans="1:6" x14ac:dyDescent="0.35">
      <c r="A312">
        <v>2020</v>
      </c>
      <c r="B312" t="s">
        <v>57</v>
      </c>
      <c r="C312" t="s">
        <v>23</v>
      </c>
      <c r="D312" s="1">
        <v>36089</v>
      </c>
      <c r="E312" s="1">
        <v>365657</v>
      </c>
      <c r="F312" s="2">
        <v>72666</v>
      </c>
    </row>
    <row r="313" spans="1:6" x14ac:dyDescent="0.35">
      <c r="A313">
        <v>2020</v>
      </c>
      <c r="B313" t="s">
        <v>57</v>
      </c>
      <c r="C313" t="s">
        <v>24</v>
      </c>
      <c r="D313" s="1">
        <v>10331</v>
      </c>
      <c r="E313" s="1">
        <v>43549</v>
      </c>
      <c r="F313" s="2">
        <v>59785</v>
      </c>
    </row>
    <row r="314" spans="1:6" x14ac:dyDescent="0.35">
      <c r="A314">
        <v>2020</v>
      </c>
      <c r="B314" t="s">
        <v>57</v>
      </c>
      <c r="C314" t="s">
        <v>25</v>
      </c>
      <c r="D314" s="1">
        <v>11809</v>
      </c>
      <c r="E314" s="1">
        <v>117288</v>
      </c>
      <c r="F314" s="2">
        <v>65292</v>
      </c>
    </row>
    <row r="315" spans="1:6" x14ac:dyDescent="0.35">
      <c r="A315">
        <v>2020</v>
      </c>
      <c r="B315" t="s">
        <v>57</v>
      </c>
      <c r="C315" t="s">
        <v>26</v>
      </c>
      <c r="D315" s="1">
        <v>20046</v>
      </c>
      <c r="E315" s="1">
        <v>179092</v>
      </c>
      <c r="F315" s="2">
        <v>67081</v>
      </c>
    </row>
    <row r="316" spans="1:6" x14ac:dyDescent="0.35">
      <c r="A316">
        <v>2020</v>
      </c>
      <c r="B316" t="s">
        <v>57</v>
      </c>
      <c r="C316" t="s">
        <v>27</v>
      </c>
      <c r="D316" s="1">
        <v>13616</v>
      </c>
      <c r="E316" s="1">
        <v>81639</v>
      </c>
      <c r="F316" s="2">
        <v>88167</v>
      </c>
    </row>
    <row r="317" spans="1:6" x14ac:dyDescent="0.35">
      <c r="A317">
        <v>2020</v>
      </c>
      <c r="B317" t="s">
        <v>57</v>
      </c>
      <c r="C317" t="s">
        <v>28</v>
      </c>
      <c r="D317" s="1">
        <v>53304</v>
      </c>
      <c r="E317" s="1">
        <v>643507</v>
      </c>
      <c r="F317" s="2">
        <v>102666</v>
      </c>
    </row>
    <row r="318" spans="1:6" x14ac:dyDescent="0.35">
      <c r="A318">
        <v>2020</v>
      </c>
      <c r="B318" t="s">
        <v>57</v>
      </c>
      <c r="C318" t="s">
        <v>29</v>
      </c>
      <c r="D318" s="1">
        <v>11550</v>
      </c>
      <c r="E318" s="1">
        <v>107707</v>
      </c>
      <c r="F318" s="2">
        <v>69938</v>
      </c>
    </row>
    <row r="319" spans="1:6" x14ac:dyDescent="0.35">
      <c r="A319">
        <v>2020</v>
      </c>
      <c r="B319" t="s">
        <v>57</v>
      </c>
      <c r="C319" t="s">
        <v>30</v>
      </c>
      <c r="D319" s="1">
        <v>117347</v>
      </c>
      <c r="E319" s="1">
        <v>1242471</v>
      </c>
      <c r="F319" s="2">
        <v>109413</v>
      </c>
    </row>
    <row r="320" spans="1:6" x14ac:dyDescent="0.35">
      <c r="A320">
        <v>2020</v>
      </c>
      <c r="B320" t="s">
        <v>57</v>
      </c>
      <c r="C320" t="s">
        <v>31</v>
      </c>
      <c r="D320" s="1">
        <v>64843</v>
      </c>
      <c r="E320" s="1">
        <v>637719</v>
      </c>
      <c r="F320" s="2">
        <v>72078</v>
      </c>
    </row>
    <row r="321" spans="1:6" x14ac:dyDescent="0.35">
      <c r="A321">
        <v>2020</v>
      </c>
      <c r="B321" t="s">
        <v>57</v>
      </c>
      <c r="C321" t="s">
        <v>32</v>
      </c>
      <c r="D321" s="1">
        <v>5337</v>
      </c>
      <c r="E321" s="1">
        <v>31642</v>
      </c>
      <c r="F321" s="2">
        <v>65877</v>
      </c>
    </row>
    <row r="322" spans="1:6" x14ac:dyDescent="0.35">
      <c r="A322">
        <v>2020</v>
      </c>
      <c r="B322" t="s">
        <v>57</v>
      </c>
      <c r="C322" t="s">
        <v>33</v>
      </c>
      <c r="D322" s="1">
        <v>55987</v>
      </c>
      <c r="E322" s="1">
        <v>697244</v>
      </c>
      <c r="F322" s="2">
        <v>71920</v>
      </c>
    </row>
    <row r="323" spans="1:6" x14ac:dyDescent="0.35">
      <c r="A323">
        <v>2020</v>
      </c>
      <c r="B323" t="s">
        <v>57</v>
      </c>
      <c r="C323" t="s">
        <v>34</v>
      </c>
      <c r="D323" s="1">
        <v>21652</v>
      </c>
      <c r="E323" s="1">
        <v>185307</v>
      </c>
      <c r="F323" s="2">
        <v>58539</v>
      </c>
    </row>
    <row r="324" spans="1:6" x14ac:dyDescent="0.35">
      <c r="A324">
        <v>2020</v>
      </c>
      <c r="B324" t="s">
        <v>57</v>
      </c>
      <c r="C324" t="s">
        <v>35</v>
      </c>
      <c r="D324" s="1">
        <v>27033</v>
      </c>
      <c r="E324" s="1">
        <v>242218</v>
      </c>
      <c r="F324" s="2">
        <v>81224</v>
      </c>
    </row>
    <row r="325" spans="1:6" x14ac:dyDescent="0.35">
      <c r="A325">
        <v>2020</v>
      </c>
      <c r="B325" t="s">
        <v>57</v>
      </c>
      <c r="C325" t="s">
        <v>36</v>
      </c>
      <c r="D325" s="1">
        <v>66210</v>
      </c>
      <c r="E325" s="1">
        <v>766122</v>
      </c>
      <c r="F325" s="2">
        <v>86971</v>
      </c>
    </row>
    <row r="326" spans="1:6" x14ac:dyDescent="0.35">
      <c r="A326">
        <v>2020</v>
      </c>
      <c r="B326" t="s">
        <v>57</v>
      </c>
      <c r="C326" t="s">
        <v>37</v>
      </c>
      <c r="D326" s="1">
        <v>9567</v>
      </c>
      <c r="E326" s="1">
        <v>65232</v>
      </c>
      <c r="F326" s="2">
        <v>75829</v>
      </c>
    </row>
    <row r="327" spans="1:6" x14ac:dyDescent="0.35">
      <c r="A327">
        <v>2020</v>
      </c>
      <c r="B327" t="s">
        <v>57</v>
      </c>
      <c r="C327" t="s">
        <v>38</v>
      </c>
      <c r="D327" s="1">
        <v>30793</v>
      </c>
      <c r="E327" s="1">
        <v>281874</v>
      </c>
      <c r="F327" s="2">
        <v>56907</v>
      </c>
    </row>
    <row r="328" spans="1:6" x14ac:dyDescent="0.35">
      <c r="A328">
        <v>2020</v>
      </c>
      <c r="B328" t="s">
        <v>57</v>
      </c>
      <c r="C328" t="s">
        <v>39</v>
      </c>
      <c r="D328" s="1">
        <v>5876</v>
      </c>
      <c r="E328" s="1">
        <v>32771</v>
      </c>
      <c r="F328" s="2">
        <v>63709</v>
      </c>
    </row>
    <row r="329" spans="1:6" x14ac:dyDescent="0.35">
      <c r="A329">
        <v>2020</v>
      </c>
      <c r="B329" t="s">
        <v>57</v>
      </c>
      <c r="C329" t="s">
        <v>40</v>
      </c>
      <c r="D329" s="1">
        <v>32595</v>
      </c>
      <c r="E329" s="1">
        <v>414644</v>
      </c>
      <c r="F329" s="2">
        <v>66460</v>
      </c>
    </row>
    <row r="330" spans="1:6" x14ac:dyDescent="0.35">
      <c r="A330">
        <v>2020</v>
      </c>
      <c r="B330" t="s">
        <v>57</v>
      </c>
      <c r="C330" t="s">
        <v>41</v>
      </c>
      <c r="D330" s="1">
        <v>146639</v>
      </c>
      <c r="E330" s="1">
        <v>1758991</v>
      </c>
      <c r="F330" s="2">
        <v>81123</v>
      </c>
    </row>
    <row r="331" spans="1:6" x14ac:dyDescent="0.35">
      <c r="A331">
        <v>2020</v>
      </c>
      <c r="B331" t="s">
        <v>57</v>
      </c>
      <c r="C331" t="s">
        <v>42</v>
      </c>
      <c r="D331" s="1">
        <v>25941</v>
      </c>
      <c r="E331" s="1">
        <v>223284</v>
      </c>
      <c r="F331" s="2">
        <v>68355</v>
      </c>
    </row>
    <row r="332" spans="1:6" x14ac:dyDescent="0.35">
      <c r="A332">
        <v>2020</v>
      </c>
      <c r="B332" t="s">
        <v>57</v>
      </c>
      <c r="C332" t="s">
        <v>43</v>
      </c>
      <c r="D332" s="1">
        <v>6346</v>
      </c>
      <c r="E332" s="1">
        <v>28512</v>
      </c>
      <c r="F332" s="2">
        <v>74442</v>
      </c>
    </row>
    <row r="333" spans="1:6" x14ac:dyDescent="0.35">
      <c r="A333">
        <v>2020</v>
      </c>
      <c r="B333" t="s">
        <v>57</v>
      </c>
      <c r="C333" t="s">
        <v>44</v>
      </c>
      <c r="D333" s="1">
        <v>60099</v>
      </c>
      <c r="E333" s="1">
        <v>752090</v>
      </c>
      <c r="F333" s="2">
        <v>96046</v>
      </c>
    </row>
    <row r="334" spans="1:6" x14ac:dyDescent="0.35">
      <c r="A334">
        <v>2020</v>
      </c>
      <c r="B334" t="s">
        <v>57</v>
      </c>
      <c r="C334" t="s">
        <v>45</v>
      </c>
      <c r="D334" s="1">
        <v>43094</v>
      </c>
      <c r="E334" s="1">
        <v>415190</v>
      </c>
      <c r="F334" s="2">
        <v>92279</v>
      </c>
    </row>
    <row r="335" spans="1:6" x14ac:dyDescent="0.35">
      <c r="A335">
        <v>2020</v>
      </c>
      <c r="B335" t="s">
        <v>57</v>
      </c>
      <c r="C335" t="s">
        <v>46</v>
      </c>
      <c r="D335" s="1">
        <v>8599</v>
      </c>
      <c r="E335" s="1">
        <v>65715</v>
      </c>
      <c r="F335" s="2">
        <v>53557</v>
      </c>
    </row>
    <row r="336" spans="1:6" x14ac:dyDescent="0.35">
      <c r="A336">
        <v>2020</v>
      </c>
      <c r="B336" t="s">
        <v>57</v>
      </c>
      <c r="C336" t="s">
        <v>47</v>
      </c>
      <c r="D336" s="1">
        <v>27048</v>
      </c>
      <c r="E336" s="1">
        <v>309780</v>
      </c>
      <c r="F336" s="2">
        <v>67254</v>
      </c>
    </row>
    <row r="337" spans="1:6" x14ac:dyDescent="0.35">
      <c r="A337">
        <v>2020</v>
      </c>
      <c r="B337" t="s">
        <v>57</v>
      </c>
      <c r="C337" t="s">
        <v>48</v>
      </c>
      <c r="D337" s="1">
        <v>4986</v>
      </c>
      <c r="E337" s="1">
        <v>18382</v>
      </c>
      <c r="F337" s="2">
        <v>60233</v>
      </c>
    </row>
    <row r="338" spans="1:6" x14ac:dyDescent="0.35">
      <c r="A338">
        <v>2020</v>
      </c>
      <c r="B338" t="s">
        <v>58</v>
      </c>
      <c r="C338" t="s">
        <v>1</v>
      </c>
      <c r="D338" s="1">
        <v>15859</v>
      </c>
      <c r="E338" s="1">
        <v>228486</v>
      </c>
      <c r="F338" s="2">
        <v>51193</v>
      </c>
    </row>
    <row r="339" spans="1:6" x14ac:dyDescent="0.35">
      <c r="A339">
        <v>2020</v>
      </c>
      <c r="B339" t="s">
        <v>58</v>
      </c>
      <c r="C339" t="s">
        <v>2</v>
      </c>
      <c r="D339" s="1">
        <v>20727</v>
      </c>
      <c r="E339" s="1">
        <v>455356</v>
      </c>
      <c r="F339" s="2">
        <v>56159</v>
      </c>
    </row>
    <row r="340" spans="1:6" x14ac:dyDescent="0.35">
      <c r="A340">
        <v>2020</v>
      </c>
      <c r="B340" t="s">
        <v>58</v>
      </c>
      <c r="C340" t="s">
        <v>3</v>
      </c>
      <c r="D340" s="1">
        <v>15656</v>
      </c>
      <c r="E340" s="1">
        <v>181169</v>
      </c>
      <c r="F340" s="2">
        <v>47435</v>
      </c>
    </row>
    <row r="341" spans="1:6" x14ac:dyDescent="0.35">
      <c r="A341">
        <v>2020</v>
      </c>
      <c r="B341" t="s">
        <v>58</v>
      </c>
      <c r="C341" t="s">
        <v>4</v>
      </c>
      <c r="D341" s="1">
        <v>656765</v>
      </c>
      <c r="E341" s="1">
        <v>2651781</v>
      </c>
      <c r="F341" s="2">
        <v>57668</v>
      </c>
    </row>
    <row r="342" spans="1:6" x14ac:dyDescent="0.35">
      <c r="A342">
        <v>2020</v>
      </c>
      <c r="B342" t="s">
        <v>58</v>
      </c>
      <c r="C342" t="s">
        <v>5</v>
      </c>
      <c r="D342" s="1">
        <v>23475</v>
      </c>
      <c r="E342" s="1">
        <v>332209</v>
      </c>
      <c r="F342" s="2">
        <v>55198</v>
      </c>
    </row>
    <row r="343" spans="1:6" x14ac:dyDescent="0.35">
      <c r="A343">
        <v>2020</v>
      </c>
      <c r="B343" t="s">
        <v>58</v>
      </c>
      <c r="C343" t="s">
        <v>6</v>
      </c>
      <c r="D343" s="1">
        <v>19964</v>
      </c>
      <c r="E343" s="1">
        <v>319881</v>
      </c>
      <c r="F343" s="2">
        <v>61215</v>
      </c>
    </row>
    <row r="344" spans="1:6" x14ac:dyDescent="0.35">
      <c r="A344">
        <v>2020</v>
      </c>
      <c r="B344" t="s">
        <v>58</v>
      </c>
      <c r="C344" t="s">
        <v>7</v>
      </c>
      <c r="D344" s="1">
        <v>5522</v>
      </c>
      <c r="E344" s="1">
        <v>74184</v>
      </c>
      <c r="F344" s="2">
        <v>57470</v>
      </c>
    </row>
    <row r="345" spans="1:6" x14ac:dyDescent="0.35">
      <c r="A345">
        <v>2020</v>
      </c>
      <c r="B345" t="s">
        <v>58</v>
      </c>
      <c r="C345" t="s">
        <v>8</v>
      </c>
      <c r="D345" s="1">
        <v>85058</v>
      </c>
      <c r="E345" s="1">
        <v>1293582</v>
      </c>
      <c r="F345" s="2">
        <v>55114</v>
      </c>
    </row>
    <row r="346" spans="1:6" x14ac:dyDescent="0.35">
      <c r="A346">
        <v>2020</v>
      </c>
      <c r="B346" t="s">
        <v>58</v>
      </c>
      <c r="C346" t="s">
        <v>9</v>
      </c>
      <c r="D346" s="1">
        <v>31842</v>
      </c>
      <c r="E346" s="1">
        <v>561390</v>
      </c>
      <c r="F346" s="2">
        <v>57141</v>
      </c>
    </row>
    <row r="347" spans="1:6" x14ac:dyDescent="0.35">
      <c r="A347">
        <v>2020</v>
      </c>
      <c r="B347" t="s">
        <v>58</v>
      </c>
      <c r="C347" t="s">
        <v>10</v>
      </c>
      <c r="D347" s="1">
        <v>9128</v>
      </c>
      <c r="E347" s="1">
        <v>106752</v>
      </c>
      <c r="F347" s="2">
        <v>45479</v>
      </c>
    </row>
    <row r="348" spans="1:6" x14ac:dyDescent="0.35">
      <c r="A348">
        <v>2020</v>
      </c>
      <c r="B348" t="s">
        <v>58</v>
      </c>
      <c r="C348" t="s">
        <v>11</v>
      </c>
      <c r="D348" s="1">
        <v>39684</v>
      </c>
      <c r="E348" s="1">
        <v>882088</v>
      </c>
      <c r="F348" s="2">
        <v>55678</v>
      </c>
    </row>
    <row r="349" spans="1:6" x14ac:dyDescent="0.35">
      <c r="A349">
        <v>2020</v>
      </c>
      <c r="B349" t="s">
        <v>58</v>
      </c>
      <c r="C349" t="s">
        <v>12</v>
      </c>
      <c r="D349" s="1">
        <v>16899</v>
      </c>
      <c r="E349" s="1">
        <v>451743</v>
      </c>
      <c r="F349" s="2">
        <v>52802</v>
      </c>
    </row>
    <row r="350" spans="1:6" x14ac:dyDescent="0.35">
      <c r="A350">
        <v>2020</v>
      </c>
      <c r="B350" t="s">
        <v>58</v>
      </c>
      <c r="C350" t="s">
        <v>13</v>
      </c>
      <c r="D350" s="1">
        <v>13294</v>
      </c>
      <c r="E350" s="1">
        <v>209301</v>
      </c>
      <c r="F350" s="2">
        <v>47222</v>
      </c>
    </row>
    <row r="351" spans="1:6" x14ac:dyDescent="0.35">
      <c r="A351">
        <v>2020</v>
      </c>
      <c r="B351" t="s">
        <v>58</v>
      </c>
      <c r="C351" t="s">
        <v>14</v>
      </c>
      <c r="D351" s="1">
        <v>10330</v>
      </c>
      <c r="E351" s="1">
        <v>194569</v>
      </c>
      <c r="F351" s="2">
        <v>48486</v>
      </c>
    </row>
    <row r="352" spans="1:6" x14ac:dyDescent="0.35">
      <c r="A352">
        <v>2020</v>
      </c>
      <c r="B352" t="s">
        <v>58</v>
      </c>
      <c r="C352" t="s">
        <v>15</v>
      </c>
      <c r="D352" s="1">
        <v>20809</v>
      </c>
      <c r="E352" s="1">
        <v>263195</v>
      </c>
      <c r="F352" s="2">
        <v>52098</v>
      </c>
    </row>
    <row r="353" spans="1:6" x14ac:dyDescent="0.35">
      <c r="A353">
        <v>2020</v>
      </c>
      <c r="B353" t="s">
        <v>58</v>
      </c>
      <c r="C353" t="s">
        <v>16</v>
      </c>
      <c r="D353" s="1">
        <v>16834</v>
      </c>
      <c r="E353" s="1">
        <v>296324</v>
      </c>
      <c r="F353" s="2">
        <v>48222</v>
      </c>
    </row>
    <row r="354" spans="1:6" x14ac:dyDescent="0.35">
      <c r="A354">
        <v>2020</v>
      </c>
      <c r="B354" t="s">
        <v>58</v>
      </c>
      <c r="C354" t="s">
        <v>17</v>
      </c>
      <c r="D354" s="1">
        <v>5591</v>
      </c>
      <c r="E354" s="1">
        <v>115511</v>
      </c>
      <c r="F354" s="2">
        <v>53739</v>
      </c>
    </row>
    <row r="355" spans="1:6" x14ac:dyDescent="0.35">
      <c r="A355">
        <v>2020</v>
      </c>
      <c r="B355" t="s">
        <v>58</v>
      </c>
      <c r="C355" t="s">
        <v>18</v>
      </c>
      <c r="D355" s="1">
        <v>21505</v>
      </c>
      <c r="E355" s="1">
        <v>420463</v>
      </c>
      <c r="F355" s="2">
        <v>59854</v>
      </c>
    </row>
    <row r="356" spans="1:6" x14ac:dyDescent="0.35">
      <c r="A356">
        <v>2020</v>
      </c>
      <c r="B356" t="s">
        <v>58</v>
      </c>
      <c r="C356" t="s">
        <v>19</v>
      </c>
      <c r="D356" s="1">
        <v>71270</v>
      </c>
      <c r="E356" s="1">
        <v>742606</v>
      </c>
      <c r="F356" s="2">
        <v>64556</v>
      </c>
    </row>
    <row r="357" spans="1:6" x14ac:dyDescent="0.35">
      <c r="A357">
        <v>2020</v>
      </c>
      <c r="B357" t="s">
        <v>58</v>
      </c>
      <c r="C357" t="s">
        <v>20</v>
      </c>
      <c r="D357" s="1">
        <v>32965</v>
      </c>
      <c r="E357" s="1">
        <v>622119</v>
      </c>
      <c r="F357" s="2">
        <v>54163</v>
      </c>
    </row>
    <row r="358" spans="1:6" x14ac:dyDescent="0.35">
      <c r="A358">
        <v>2020</v>
      </c>
      <c r="B358" t="s">
        <v>58</v>
      </c>
      <c r="C358" t="s">
        <v>21</v>
      </c>
      <c r="D358" s="1">
        <v>22985</v>
      </c>
      <c r="E358" s="1">
        <v>513228</v>
      </c>
      <c r="F358" s="2">
        <v>55127</v>
      </c>
    </row>
    <row r="359" spans="1:6" x14ac:dyDescent="0.35">
      <c r="A359">
        <v>2020</v>
      </c>
      <c r="B359" t="s">
        <v>58</v>
      </c>
      <c r="C359" t="s">
        <v>22</v>
      </c>
      <c r="D359" s="1">
        <v>7693</v>
      </c>
      <c r="E359" s="1">
        <v>138876</v>
      </c>
      <c r="F359" s="2">
        <v>45670</v>
      </c>
    </row>
    <row r="360" spans="1:6" x14ac:dyDescent="0.35">
      <c r="A360">
        <v>2020</v>
      </c>
      <c r="B360" t="s">
        <v>58</v>
      </c>
      <c r="C360" t="s">
        <v>23</v>
      </c>
      <c r="D360" s="1">
        <v>56134</v>
      </c>
      <c r="E360" s="1">
        <v>448355</v>
      </c>
      <c r="F360" s="2">
        <v>50460</v>
      </c>
    </row>
    <row r="361" spans="1:6" x14ac:dyDescent="0.35">
      <c r="A361">
        <v>2020</v>
      </c>
      <c r="B361" t="s">
        <v>58</v>
      </c>
      <c r="C361" t="s">
        <v>24</v>
      </c>
      <c r="D361" s="1">
        <v>5112</v>
      </c>
      <c r="E361" s="1">
        <v>73374</v>
      </c>
      <c r="F361" s="2">
        <v>52612</v>
      </c>
    </row>
    <row r="362" spans="1:6" x14ac:dyDescent="0.35">
      <c r="A362">
        <v>2020</v>
      </c>
      <c r="B362" t="s">
        <v>58</v>
      </c>
      <c r="C362" t="s">
        <v>25</v>
      </c>
      <c r="D362" s="1">
        <v>10522</v>
      </c>
      <c r="E362" s="1">
        <v>135205</v>
      </c>
      <c r="F362" s="2">
        <v>51740</v>
      </c>
    </row>
    <row r="363" spans="1:6" x14ac:dyDescent="0.35">
      <c r="A363">
        <v>2020</v>
      </c>
      <c r="B363" t="s">
        <v>58</v>
      </c>
      <c r="C363" t="s">
        <v>26</v>
      </c>
      <c r="D363" s="1">
        <v>9126</v>
      </c>
      <c r="E363" s="1">
        <v>139696</v>
      </c>
      <c r="F363" s="2">
        <v>58047</v>
      </c>
    </row>
    <row r="364" spans="1:6" x14ac:dyDescent="0.35">
      <c r="A364">
        <v>2020</v>
      </c>
      <c r="B364" t="s">
        <v>58</v>
      </c>
      <c r="C364" t="s">
        <v>27</v>
      </c>
      <c r="D364" s="1">
        <v>4900</v>
      </c>
      <c r="E364" s="1">
        <v>108757</v>
      </c>
      <c r="F364" s="2">
        <v>63675</v>
      </c>
    </row>
    <row r="365" spans="1:6" x14ac:dyDescent="0.35">
      <c r="A365">
        <v>2020</v>
      </c>
      <c r="B365" t="s">
        <v>58</v>
      </c>
      <c r="C365" t="s">
        <v>28</v>
      </c>
      <c r="D365" s="1">
        <v>43568</v>
      </c>
      <c r="E365" s="1">
        <v>622420</v>
      </c>
      <c r="F365" s="2">
        <v>60044</v>
      </c>
    </row>
    <row r="366" spans="1:6" x14ac:dyDescent="0.35">
      <c r="A366">
        <v>2020</v>
      </c>
      <c r="B366" t="s">
        <v>58</v>
      </c>
      <c r="C366" t="s">
        <v>29</v>
      </c>
      <c r="D366" s="1">
        <v>11448</v>
      </c>
      <c r="E366" s="1">
        <v>126459</v>
      </c>
      <c r="F366" s="2">
        <v>45191</v>
      </c>
    </row>
    <row r="367" spans="1:6" x14ac:dyDescent="0.35">
      <c r="A367">
        <v>2020</v>
      </c>
      <c r="B367" t="s">
        <v>58</v>
      </c>
      <c r="C367" t="s">
        <v>30</v>
      </c>
      <c r="D367" s="1">
        <v>67893</v>
      </c>
      <c r="E367" s="1">
        <v>1872526</v>
      </c>
      <c r="F367" s="2">
        <v>58936</v>
      </c>
    </row>
    <row r="368" spans="1:6" x14ac:dyDescent="0.35">
      <c r="A368">
        <v>2020</v>
      </c>
      <c r="B368" t="s">
        <v>58</v>
      </c>
      <c r="C368" t="s">
        <v>31</v>
      </c>
      <c r="D368" s="1">
        <v>29514</v>
      </c>
      <c r="E368" s="1">
        <v>584896</v>
      </c>
      <c r="F368" s="2">
        <v>53252</v>
      </c>
    </row>
    <row r="369" spans="1:6" x14ac:dyDescent="0.35">
      <c r="A369">
        <v>2020</v>
      </c>
      <c r="B369" t="s">
        <v>58</v>
      </c>
      <c r="C369" t="s">
        <v>32</v>
      </c>
      <c r="D369" s="1">
        <v>2737</v>
      </c>
      <c r="E369" s="1">
        <v>64418</v>
      </c>
      <c r="F369" s="2">
        <v>55234</v>
      </c>
    </row>
    <row r="370" spans="1:6" x14ac:dyDescent="0.35">
      <c r="A370">
        <v>2020</v>
      </c>
      <c r="B370" t="s">
        <v>58</v>
      </c>
      <c r="C370" t="s">
        <v>33</v>
      </c>
      <c r="D370" s="1">
        <v>35930</v>
      </c>
      <c r="E370" s="1">
        <v>868191</v>
      </c>
      <c r="F370" s="2">
        <v>51366</v>
      </c>
    </row>
    <row r="371" spans="1:6" x14ac:dyDescent="0.35">
      <c r="A371">
        <v>2020</v>
      </c>
      <c r="B371" t="s">
        <v>58</v>
      </c>
      <c r="C371" t="s">
        <v>34</v>
      </c>
      <c r="D371" s="1">
        <v>13656</v>
      </c>
      <c r="E371" s="1">
        <v>209679</v>
      </c>
      <c r="F371" s="2">
        <v>49095</v>
      </c>
    </row>
    <row r="372" spans="1:6" x14ac:dyDescent="0.35">
      <c r="A372">
        <v>2020</v>
      </c>
      <c r="B372" t="s">
        <v>58</v>
      </c>
      <c r="C372" t="s">
        <v>35</v>
      </c>
      <c r="D372" s="1">
        <v>28106</v>
      </c>
      <c r="E372" s="1">
        <v>292631</v>
      </c>
      <c r="F372" s="2">
        <v>54216</v>
      </c>
    </row>
    <row r="373" spans="1:6" x14ac:dyDescent="0.35">
      <c r="A373">
        <v>2020</v>
      </c>
      <c r="B373" t="s">
        <v>58</v>
      </c>
      <c r="C373" t="s">
        <v>36</v>
      </c>
      <c r="D373" s="1">
        <v>57935</v>
      </c>
      <c r="E373" s="1">
        <v>1179840</v>
      </c>
      <c r="F373" s="2">
        <v>57087</v>
      </c>
    </row>
    <row r="374" spans="1:6" x14ac:dyDescent="0.35">
      <c r="A374">
        <v>2020</v>
      </c>
      <c r="B374" t="s">
        <v>58</v>
      </c>
      <c r="C374" t="s">
        <v>37</v>
      </c>
      <c r="D374" s="1">
        <v>4907</v>
      </c>
      <c r="E374" s="1">
        <v>95079</v>
      </c>
      <c r="F374" s="2">
        <v>54510</v>
      </c>
    </row>
    <row r="375" spans="1:6" x14ac:dyDescent="0.35">
      <c r="A375">
        <v>2020</v>
      </c>
      <c r="B375" t="s">
        <v>58</v>
      </c>
      <c r="C375" t="s">
        <v>38</v>
      </c>
      <c r="D375" s="1">
        <v>15612</v>
      </c>
      <c r="E375" s="1">
        <v>231072</v>
      </c>
      <c r="F375" s="2">
        <v>50055</v>
      </c>
    </row>
    <row r="376" spans="1:6" x14ac:dyDescent="0.35">
      <c r="A376">
        <v>2020</v>
      </c>
      <c r="B376" t="s">
        <v>58</v>
      </c>
      <c r="C376" t="s">
        <v>39</v>
      </c>
      <c r="D376" s="1">
        <v>2934</v>
      </c>
      <c r="E376" s="1">
        <v>68990</v>
      </c>
      <c r="F376" s="2">
        <v>57054</v>
      </c>
    </row>
    <row r="377" spans="1:6" x14ac:dyDescent="0.35">
      <c r="A377">
        <v>2020</v>
      </c>
      <c r="B377" t="s">
        <v>58</v>
      </c>
      <c r="C377" t="s">
        <v>40</v>
      </c>
      <c r="D377" s="1">
        <v>21213</v>
      </c>
      <c r="E377" s="1">
        <v>421097</v>
      </c>
      <c r="F377" s="2">
        <v>56401</v>
      </c>
    </row>
    <row r="378" spans="1:6" x14ac:dyDescent="0.35">
      <c r="A378">
        <v>2020</v>
      </c>
      <c r="B378" t="s">
        <v>58</v>
      </c>
      <c r="C378" t="s">
        <v>41</v>
      </c>
      <c r="D378" s="1">
        <v>98681</v>
      </c>
      <c r="E378" s="1">
        <v>1646144</v>
      </c>
      <c r="F378" s="2">
        <v>51856</v>
      </c>
    </row>
    <row r="379" spans="1:6" x14ac:dyDescent="0.35">
      <c r="A379">
        <v>2020</v>
      </c>
      <c r="B379" t="s">
        <v>58</v>
      </c>
      <c r="C379" t="s">
        <v>42</v>
      </c>
      <c r="D379" s="1">
        <v>13463</v>
      </c>
      <c r="E379" s="1">
        <v>193157</v>
      </c>
      <c r="F379" s="2">
        <v>48260</v>
      </c>
    </row>
    <row r="380" spans="1:6" x14ac:dyDescent="0.35">
      <c r="A380">
        <v>2020</v>
      </c>
      <c r="B380" t="s">
        <v>58</v>
      </c>
      <c r="C380" t="s">
        <v>43</v>
      </c>
      <c r="D380" s="1">
        <v>2516</v>
      </c>
      <c r="E380" s="1">
        <v>58443</v>
      </c>
      <c r="F380" s="2">
        <v>52779</v>
      </c>
    </row>
    <row r="381" spans="1:6" x14ac:dyDescent="0.35">
      <c r="A381">
        <v>2020</v>
      </c>
      <c r="B381" t="s">
        <v>58</v>
      </c>
      <c r="C381" t="s">
        <v>44</v>
      </c>
      <c r="D381" s="1">
        <v>49705</v>
      </c>
      <c r="E381" s="1">
        <v>492598</v>
      </c>
      <c r="F381" s="2">
        <v>54119</v>
      </c>
    </row>
    <row r="382" spans="1:6" x14ac:dyDescent="0.35">
      <c r="A382">
        <v>2020</v>
      </c>
      <c r="B382" t="s">
        <v>58</v>
      </c>
      <c r="C382" t="s">
        <v>45</v>
      </c>
      <c r="D382" s="1">
        <v>74944</v>
      </c>
      <c r="E382" s="1">
        <v>468495</v>
      </c>
      <c r="F382" s="2">
        <v>55544</v>
      </c>
    </row>
    <row r="383" spans="1:6" x14ac:dyDescent="0.35">
      <c r="A383">
        <v>2020</v>
      </c>
      <c r="B383" t="s">
        <v>58</v>
      </c>
      <c r="C383" t="s">
        <v>46</v>
      </c>
      <c r="D383" s="1">
        <v>8500</v>
      </c>
      <c r="E383" s="1">
        <v>124604</v>
      </c>
      <c r="F383" s="2">
        <v>50597</v>
      </c>
    </row>
    <row r="384" spans="1:6" x14ac:dyDescent="0.35">
      <c r="A384">
        <v>2020</v>
      </c>
      <c r="B384" t="s">
        <v>58</v>
      </c>
      <c r="C384" t="s">
        <v>47</v>
      </c>
      <c r="D384" s="1">
        <v>31125</v>
      </c>
      <c r="E384" s="1">
        <v>427152</v>
      </c>
      <c r="F384" s="2">
        <v>52993</v>
      </c>
    </row>
    <row r="385" spans="1:6" x14ac:dyDescent="0.35">
      <c r="A385">
        <v>2020</v>
      </c>
      <c r="B385" t="s">
        <v>58</v>
      </c>
      <c r="C385" t="s">
        <v>48</v>
      </c>
      <c r="D385" s="1">
        <v>3485</v>
      </c>
      <c r="E385" s="1">
        <v>26942</v>
      </c>
      <c r="F385" s="2">
        <v>46334</v>
      </c>
    </row>
    <row r="386" spans="1:6" x14ac:dyDescent="0.35">
      <c r="A386">
        <v>2020</v>
      </c>
      <c r="B386" t="s">
        <v>59</v>
      </c>
      <c r="C386" t="s">
        <v>1</v>
      </c>
      <c r="D386" s="1">
        <v>11221</v>
      </c>
      <c r="E386" s="1">
        <v>178057</v>
      </c>
      <c r="F386" s="2">
        <v>18554</v>
      </c>
    </row>
    <row r="387" spans="1:6" x14ac:dyDescent="0.35">
      <c r="A387">
        <v>2020</v>
      </c>
      <c r="B387" t="s">
        <v>59</v>
      </c>
      <c r="C387" t="s">
        <v>2</v>
      </c>
      <c r="D387" s="1">
        <v>14444</v>
      </c>
      <c r="E387" s="1">
        <v>274985</v>
      </c>
      <c r="F387" s="2">
        <v>26810</v>
      </c>
    </row>
    <row r="388" spans="1:6" x14ac:dyDescent="0.35">
      <c r="A388">
        <v>2020</v>
      </c>
      <c r="B388" t="s">
        <v>59</v>
      </c>
      <c r="C388" t="s">
        <v>3</v>
      </c>
      <c r="D388" s="1">
        <v>7458</v>
      </c>
      <c r="E388" s="1">
        <v>106295</v>
      </c>
      <c r="F388" s="2">
        <v>18414</v>
      </c>
    </row>
    <row r="389" spans="1:6" x14ac:dyDescent="0.35">
      <c r="A389">
        <v>2020</v>
      </c>
      <c r="B389" t="s">
        <v>59</v>
      </c>
      <c r="C389" t="s">
        <v>4</v>
      </c>
      <c r="D389" s="1">
        <v>117833</v>
      </c>
      <c r="E389" s="1">
        <v>1482600</v>
      </c>
      <c r="F389" s="2">
        <v>36090</v>
      </c>
    </row>
    <row r="390" spans="1:6" x14ac:dyDescent="0.35">
      <c r="A390">
        <v>2020</v>
      </c>
      <c r="B390" t="s">
        <v>59</v>
      </c>
      <c r="C390" t="s">
        <v>5</v>
      </c>
      <c r="D390" s="1">
        <v>17650</v>
      </c>
      <c r="E390" s="1">
        <v>271680</v>
      </c>
      <c r="F390" s="2">
        <v>28424</v>
      </c>
    </row>
    <row r="391" spans="1:6" x14ac:dyDescent="0.35">
      <c r="A391">
        <v>2020</v>
      </c>
      <c r="B391" t="s">
        <v>59</v>
      </c>
      <c r="C391" t="s">
        <v>6</v>
      </c>
      <c r="D391" s="1">
        <v>10916</v>
      </c>
      <c r="E391" s="1">
        <v>117365</v>
      </c>
      <c r="F391" s="2">
        <v>26295</v>
      </c>
    </row>
    <row r="392" spans="1:6" x14ac:dyDescent="0.35">
      <c r="A392">
        <v>2020</v>
      </c>
      <c r="B392" t="s">
        <v>59</v>
      </c>
      <c r="C392" t="s">
        <v>7</v>
      </c>
      <c r="D392" s="1">
        <v>2698</v>
      </c>
      <c r="E392" s="1">
        <v>41103</v>
      </c>
      <c r="F392" s="2">
        <v>22228</v>
      </c>
    </row>
    <row r="393" spans="1:6" x14ac:dyDescent="0.35">
      <c r="A393">
        <v>2020</v>
      </c>
      <c r="B393" t="s">
        <v>59</v>
      </c>
      <c r="C393" t="s">
        <v>8</v>
      </c>
      <c r="D393" s="1">
        <v>59645</v>
      </c>
      <c r="E393" s="1">
        <v>1007574</v>
      </c>
      <c r="F393" s="2">
        <v>27709</v>
      </c>
    </row>
    <row r="394" spans="1:6" x14ac:dyDescent="0.35">
      <c r="A394">
        <v>2020</v>
      </c>
      <c r="B394" t="s">
        <v>59</v>
      </c>
      <c r="C394" t="s">
        <v>9</v>
      </c>
      <c r="D394" s="1">
        <v>26741</v>
      </c>
      <c r="E394" s="1">
        <v>414059</v>
      </c>
      <c r="F394" s="2">
        <v>22009</v>
      </c>
    </row>
    <row r="395" spans="1:6" x14ac:dyDescent="0.35">
      <c r="A395">
        <v>2020</v>
      </c>
      <c r="B395" t="s">
        <v>59</v>
      </c>
      <c r="C395" t="s">
        <v>10</v>
      </c>
      <c r="D395" s="1">
        <v>5242</v>
      </c>
      <c r="E395" s="1">
        <v>74574</v>
      </c>
      <c r="F395" s="2">
        <v>18637</v>
      </c>
    </row>
    <row r="396" spans="1:6" x14ac:dyDescent="0.35">
      <c r="A396">
        <v>2020</v>
      </c>
      <c r="B396" t="s">
        <v>59</v>
      </c>
      <c r="C396" t="s">
        <v>11</v>
      </c>
      <c r="D396" s="1">
        <v>32842</v>
      </c>
      <c r="E396" s="1">
        <v>462216</v>
      </c>
      <c r="F396" s="2">
        <v>25054</v>
      </c>
    </row>
    <row r="397" spans="1:6" x14ac:dyDescent="0.35">
      <c r="A397">
        <v>2020</v>
      </c>
      <c r="B397" t="s">
        <v>59</v>
      </c>
      <c r="C397" t="s">
        <v>12</v>
      </c>
      <c r="D397" s="1">
        <v>16068</v>
      </c>
      <c r="E397" s="1">
        <v>263892</v>
      </c>
      <c r="F397" s="2">
        <v>20493</v>
      </c>
    </row>
    <row r="398" spans="1:6" x14ac:dyDescent="0.35">
      <c r="A398">
        <v>2020</v>
      </c>
      <c r="B398" t="s">
        <v>59</v>
      </c>
      <c r="C398" t="s">
        <v>13</v>
      </c>
      <c r="D398" s="1">
        <v>8734</v>
      </c>
      <c r="E398" s="1">
        <v>118383</v>
      </c>
      <c r="F398" s="2">
        <v>18002</v>
      </c>
    </row>
    <row r="399" spans="1:6" x14ac:dyDescent="0.35">
      <c r="A399">
        <v>2020</v>
      </c>
      <c r="B399" t="s">
        <v>59</v>
      </c>
      <c r="C399" t="s">
        <v>14</v>
      </c>
      <c r="D399" s="1">
        <v>6792</v>
      </c>
      <c r="E399" s="1">
        <v>110526</v>
      </c>
      <c r="F399" s="2">
        <v>18088</v>
      </c>
    </row>
    <row r="400" spans="1:6" x14ac:dyDescent="0.35">
      <c r="A400">
        <v>2020</v>
      </c>
      <c r="B400" t="s">
        <v>59</v>
      </c>
      <c r="C400" t="s">
        <v>15</v>
      </c>
      <c r="D400" s="1">
        <v>10331</v>
      </c>
      <c r="E400" s="1">
        <v>165335</v>
      </c>
      <c r="F400" s="2">
        <v>19522</v>
      </c>
    </row>
    <row r="401" spans="1:6" x14ac:dyDescent="0.35">
      <c r="A401">
        <v>2020</v>
      </c>
      <c r="B401" t="s">
        <v>59</v>
      </c>
      <c r="C401" t="s">
        <v>16</v>
      </c>
      <c r="D401" s="1">
        <v>13351</v>
      </c>
      <c r="E401" s="1">
        <v>188383</v>
      </c>
      <c r="F401" s="2">
        <v>22216</v>
      </c>
    </row>
    <row r="402" spans="1:6" x14ac:dyDescent="0.35">
      <c r="A402">
        <v>2020</v>
      </c>
      <c r="B402" t="s">
        <v>59</v>
      </c>
      <c r="C402" t="s">
        <v>17</v>
      </c>
      <c r="D402" s="1">
        <v>5172</v>
      </c>
      <c r="E402" s="1">
        <v>51781</v>
      </c>
      <c r="F402" s="2">
        <v>25112</v>
      </c>
    </row>
    <row r="403" spans="1:6" x14ac:dyDescent="0.35">
      <c r="A403">
        <v>2020</v>
      </c>
      <c r="B403" t="s">
        <v>59</v>
      </c>
      <c r="C403" t="s">
        <v>18</v>
      </c>
      <c r="D403" s="1">
        <v>14823</v>
      </c>
      <c r="E403" s="1">
        <v>210848</v>
      </c>
      <c r="F403" s="2">
        <v>26383</v>
      </c>
    </row>
    <row r="404" spans="1:6" x14ac:dyDescent="0.35">
      <c r="A404">
        <v>2020</v>
      </c>
      <c r="B404" t="s">
        <v>59</v>
      </c>
      <c r="C404" t="s">
        <v>19</v>
      </c>
      <c r="D404" s="1">
        <v>20158</v>
      </c>
      <c r="E404" s="1">
        <v>262049</v>
      </c>
      <c r="F404" s="2">
        <v>30457</v>
      </c>
    </row>
    <row r="405" spans="1:6" x14ac:dyDescent="0.35">
      <c r="A405">
        <v>2020</v>
      </c>
      <c r="B405" t="s">
        <v>59</v>
      </c>
      <c r="C405" t="s">
        <v>20</v>
      </c>
      <c r="D405" s="1">
        <v>23032</v>
      </c>
      <c r="E405" s="1">
        <v>323435</v>
      </c>
      <c r="F405" s="2">
        <v>22254</v>
      </c>
    </row>
    <row r="406" spans="1:6" x14ac:dyDescent="0.35">
      <c r="A406">
        <v>2020</v>
      </c>
      <c r="B406" t="s">
        <v>59</v>
      </c>
      <c r="C406" t="s">
        <v>21</v>
      </c>
      <c r="D406" s="1">
        <v>15355</v>
      </c>
      <c r="E406" s="1">
        <v>204519</v>
      </c>
      <c r="F406" s="2">
        <v>24167</v>
      </c>
    </row>
    <row r="407" spans="1:6" x14ac:dyDescent="0.35">
      <c r="A407">
        <v>2020</v>
      </c>
      <c r="B407" t="s">
        <v>59</v>
      </c>
      <c r="C407" t="s">
        <v>22</v>
      </c>
      <c r="D407" s="1">
        <v>6644</v>
      </c>
      <c r="E407" s="1">
        <v>118107</v>
      </c>
      <c r="F407" s="2">
        <v>18380</v>
      </c>
    </row>
    <row r="408" spans="1:6" x14ac:dyDescent="0.35">
      <c r="A408">
        <v>2020</v>
      </c>
      <c r="B408" t="s">
        <v>59</v>
      </c>
      <c r="C408" t="s">
        <v>23</v>
      </c>
      <c r="D408" s="1">
        <v>15398</v>
      </c>
      <c r="E408" s="1">
        <v>253244</v>
      </c>
      <c r="F408" s="2">
        <v>22154</v>
      </c>
    </row>
    <row r="409" spans="1:6" x14ac:dyDescent="0.35">
      <c r="A409">
        <v>2020</v>
      </c>
      <c r="B409" t="s">
        <v>59</v>
      </c>
      <c r="C409" t="s">
        <v>24</v>
      </c>
      <c r="D409" s="1">
        <v>5182</v>
      </c>
      <c r="E409" s="1">
        <v>58811</v>
      </c>
      <c r="F409" s="2">
        <v>21078</v>
      </c>
    </row>
    <row r="410" spans="1:6" x14ac:dyDescent="0.35">
      <c r="A410">
        <v>2020</v>
      </c>
      <c r="B410" t="s">
        <v>59</v>
      </c>
      <c r="C410" t="s">
        <v>25</v>
      </c>
      <c r="D410" s="1">
        <v>5552</v>
      </c>
      <c r="E410" s="1">
        <v>79529</v>
      </c>
      <c r="F410" s="2">
        <v>18131</v>
      </c>
    </row>
    <row r="411" spans="1:6" x14ac:dyDescent="0.35">
      <c r="A411">
        <v>2020</v>
      </c>
      <c r="B411" t="s">
        <v>59</v>
      </c>
      <c r="C411" t="s">
        <v>26</v>
      </c>
      <c r="D411" s="1">
        <v>8698</v>
      </c>
      <c r="E411" s="1">
        <v>255447</v>
      </c>
      <c r="F411" s="2">
        <v>34061</v>
      </c>
    </row>
    <row r="412" spans="1:6" x14ac:dyDescent="0.35">
      <c r="A412">
        <v>2020</v>
      </c>
      <c r="B412" t="s">
        <v>59</v>
      </c>
      <c r="C412" t="s">
        <v>27</v>
      </c>
      <c r="D412" s="1">
        <v>4677</v>
      </c>
      <c r="E412" s="1">
        <v>57132</v>
      </c>
      <c r="F412" s="2">
        <v>24729</v>
      </c>
    </row>
    <row r="413" spans="1:6" x14ac:dyDescent="0.35">
      <c r="A413">
        <v>2020</v>
      </c>
      <c r="B413" t="s">
        <v>59</v>
      </c>
      <c r="C413" t="s">
        <v>28</v>
      </c>
      <c r="D413" s="1">
        <v>24584</v>
      </c>
      <c r="E413" s="1">
        <v>281546</v>
      </c>
      <c r="F413" s="2">
        <v>28639</v>
      </c>
    </row>
    <row r="414" spans="1:6" x14ac:dyDescent="0.35">
      <c r="A414">
        <v>2020</v>
      </c>
      <c r="B414" t="s">
        <v>59</v>
      </c>
      <c r="C414" t="s">
        <v>29</v>
      </c>
      <c r="D414" s="1">
        <v>5276</v>
      </c>
      <c r="E414" s="1">
        <v>78539</v>
      </c>
      <c r="F414" s="2">
        <v>19988</v>
      </c>
    </row>
    <row r="415" spans="1:6" x14ac:dyDescent="0.35">
      <c r="A415">
        <v>2020</v>
      </c>
      <c r="B415" t="s">
        <v>59</v>
      </c>
      <c r="C415" t="s">
        <v>30</v>
      </c>
      <c r="D415" s="1">
        <v>64959</v>
      </c>
      <c r="E415" s="1">
        <v>632760</v>
      </c>
      <c r="F415" s="2">
        <v>36986</v>
      </c>
    </row>
    <row r="416" spans="1:6" x14ac:dyDescent="0.35">
      <c r="A416">
        <v>2020</v>
      </c>
      <c r="B416" t="s">
        <v>59</v>
      </c>
      <c r="C416" t="s">
        <v>31</v>
      </c>
      <c r="D416" s="1">
        <v>27015</v>
      </c>
      <c r="E416" s="1">
        <v>420420</v>
      </c>
      <c r="F416" s="2">
        <v>21462</v>
      </c>
    </row>
    <row r="417" spans="1:6" x14ac:dyDescent="0.35">
      <c r="A417">
        <v>2020</v>
      </c>
      <c r="B417" t="s">
        <v>59</v>
      </c>
      <c r="C417" t="s">
        <v>32</v>
      </c>
      <c r="D417" s="1">
        <v>2621</v>
      </c>
      <c r="E417" s="1">
        <v>34228</v>
      </c>
      <c r="F417" s="2">
        <v>19193</v>
      </c>
    </row>
    <row r="418" spans="1:6" x14ac:dyDescent="0.35">
      <c r="A418">
        <v>2020</v>
      </c>
      <c r="B418" t="s">
        <v>59</v>
      </c>
      <c r="C418" t="s">
        <v>33</v>
      </c>
      <c r="D418" s="1">
        <v>29197</v>
      </c>
      <c r="E418" s="1">
        <v>466069</v>
      </c>
      <c r="F418" s="2">
        <v>21027</v>
      </c>
    </row>
    <row r="419" spans="1:6" x14ac:dyDescent="0.35">
      <c r="A419">
        <v>2020</v>
      </c>
      <c r="B419" t="s">
        <v>59</v>
      </c>
      <c r="C419" t="s">
        <v>34</v>
      </c>
      <c r="D419" s="1">
        <v>9364</v>
      </c>
      <c r="E419" s="1">
        <v>156230</v>
      </c>
      <c r="F419" s="2">
        <v>19310</v>
      </c>
    </row>
    <row r="420" spans="1:6" x14ac:dyDescent="0.35">
      <c r="A420">
        <v>2020</v>
      </c>
      <c r="B420" t="s">
        <v>59</v>
      </c>
      <c r="C420" t="s">
        <v>35</v>
      </c>
      <c r="D420" s="1">
        <v>13993</v>
      </c>
      <c r="E420" s="1">
        <v>161570</v>
      </c>
      <c r="F420" s="2">
        <v>24338</v>
      </c>
    </row>
    <row r="421" spans="1:6" x14ac:dyDescent="0.35">
      <c r="A421">
        <v>2020</v>
      </c>
      <c r="B421" t="s">
        <v>59</v>
      </c>
      <c r="C421" t="s">
        <v>36</v>
      </c>
      <c r="D421" s="1">
        <v>33532</v>
      </c>
      <c r="E421" s="1">
        <v>424092</v>
      </c>
      <c r="F421" s="2">
        <v>22945</v>
      </c>
    </row>
    <row r="422" spans="1:6" x14ac:dyDescent="0.35">
      <c r="A422">
        <v>2020</v>
      </c>
      <c r="B422" t="s">
        <v>59</v>
      </c>
      <c r="C422" t="s">
        <v>37</v>
      </c>
      <c r="D422" s="1">
        <v>3890</v>
      </c>
      <c r="E422" s="1">
        <v>44621</v>
      </c>
      <c r="F422" s="2">
        <v>24733</v>
      </c>
    </row>
    <row r="423" spans="1:6" x14ac:dyDescent="0.35">
      <c r="A423">
        <v>2020</v>
      </c>
      <c r="B423" t="s">
        <v>59</v>
      </c>
      <c r="C423" t="s">
        <v>38</v>
      </c>
      <c r="D423" s="1">
        <v>13676</v>
      </c>
      <c r="E423" s="1">
        <v>226959</v>
      </c>
      <c r="F423" s="2">
        <v>19677</v>
      </c>
    </row>
    <row r="424" spans="1:6" x14ac:dyDescent="0.35">
      <c r="A424">
        <v>2020</v>
      </c>
      <c r="B424" t="s">
        <v>59</v>
      </c>
      <c r="C424" t="s">
        <v>39</v>
      </c>
      <c r="D424" s="1">
        <v>3184</v>
      </c>
      <c r="E424" s="1">
        <v>41000</v>
      </c>
      <c r="F424" s="2">
        <v>18829</v>
      </c>
    </row>
    <row r="425" spans="1:6" x14ac:dyDescent="0.35">
      <c r="A425">
        <v>2020</v>
      </c>
      <c r="B425" t="s">
        <v>59</v>
      </c>
      <c r="C425" t="s">
        <v>40</v>
      </c>
      <c r="D425" s="1">
        <v>17443</v>
      </c>
      <c r="E425" s="1">
        <v>293033</v>
      </c>
      <c r="F425" s="2">
        <v>23771</v>
      </c>
    </row>
    <row r="426" spans="1:6" x14ac:dyDescent="0.35">
      <c r="A426">
        <v>2020</v>
      </c>
      <c r="B426" t="s">
        <v>59</v>
      </c>
      <c r="C426" t="s">
        <v>41</v>
      </c>
      <c r="D426" s="1">
        <v>66777</v>
      </c>
      <c r="E426" s="1">
        <v>1178456</v>
      </c>
      <c r="F426" s="2">
        <v>23001</v>
      </c>
    </row>
    <row r="427" spans="1:6" x14ac:dyDescent="0.35">
      <c r="A427">
        <v>2020</v>
      </c>
      <c r="B427" t="s">
        <v>59</v>
      </c>
      <c r="C427" t="s">
        <v>42</v>
      </c>
      <c r="D427" s="1">
        <v>7766</v>
      </c>
      <c r="E427" s="1">
        <v>133375</v>
      </c>
      <c r="F427" s="2">
        <v>21580</v>
      </c>
    </row>
    <row r="428" spans="1:6" x14ac:dyDescent="0.35">
      <c r="A428">
        <v>2020</v>
      </c>
      <c r="B428" t="s">
        <v>59</v>
      </c>
      <c r="C428" t="s">
        <v>43</v>
      </c>
      <c r="D428" s="1">
        <v>2220</v>
      </c>
      <c r="E428" s="1">
        <v>25985</v>
      </c>
      <c r="F428" s="2">
        <v>26068</v>
      </c>
    </row>
    <row r="429" spans="1:6" x14ac:dyDescent="0.35">
      <c r="A429">
        <v>2020</v>
      </c>
      <c r="B429" t="s">
        <v>59</v>
      </c>
      <c r="C429" t="s">
        <v>44</v>
      </c>
      <c r="D429" s="1">
        <v>20954</v>
      </c>
      <c r="E429" s="1">
        <v>322216</v>
      </c>
      <c r="F429" s="2">
        <v>22634</v>
      </c>
    </row>
    <row r="430" spans="1:6" x14ac:dyDescent="0.35">
      <c r="A430">
        <v>2020</v>
      </c>
      <c r="B430" t="s">
        <v>59</v>
      </c>
      <c r="C430" t="s">
        <v>45</v>
      </c>
      <c r="D430" s="1">
        <v>20710</v>
      </c>
      <c r="E430" s="1">
        <v>255412</v>
      </c>
      <c r="F430" s="2">
        <v>26657</v>
      </c>
    </row>
    <row r="431" spans="1:6" x14ac:dyDescent="0.35">
      <c r="A431">
        <v>2020</v>
      </c>
      <c r="B431" t="s">
        <v>59</v>
      </c>
      <c r="C431" t="s">
        <v>46</v>
      </c>
      <c r="D431" s="1">
        <v>4602</v>
      </c>
      <c r="E431" s="1">
        <v>61253</v>
      </c>
      <c r="F431" s="2">
        <v>18945</v>
      </c>
    </row>
    <row r="432" spans="1:6" x14ac:dyDescent="0.35">
      <c r="A432">
        <v>2020</v>
      </c>
      <c r="B432" t="s">
        <v>59</v>
      </c>
      <c r="C432" t="s">
        <v>47</v>
      </c>
      <c r="D432" s="1">
        <v>16783</v>
      </c>
      <c r="E432" s="1">
        <v>227495</v>
      </c>
      <c r="F432" s="2">
        <v>19473</v>
      </c>
    </row>
    <row r="433" spans="1:6" x14ac:dyDescent="0.35">
      <c r="A433">
        <v>2020</v>
      </c>
      <c r="B433" t="s">
        <v>59</v>
      </c>
      <c r="C433" t="s">
        <v>48</v>
      </c>
      <c r="D433" s="1">
        <v>2418</v>
      </c>
      <c r="E433" s="1">
        <v>32312</v>
      </c>
      <c r="F433" s="2">
        <v>23041</v>
      </c>
    </row>
    <row r="434" spans="1:6" x14ac:dyDescent="0.35">
      <c r="A434">
        <v>2020</v>
      </c>
      <c r="B434" t="s">
        <v>60</v>
      </c>
      <c r="C434" t="s">
        <v>1</v>
      </c>
      <c r="D434" s="1">
        <v>9048</v>
      </c>
      <c r="E434" s="1">
        <v>42367</v>
      </c>
      <c r="F434" s="2">
        <v>41437</v>
      </c>
    </row>
    <row r="435" spans="1:6" x14ac:dyDescent="0.35">
      <c r="A435">
        <v>2020</v>
      </c>
      <c r="B435" t="s">
        <v>60</v>
      </c>
      <c r="C435" t="s">
        <v>2</v>
      </c>
      <c r="D435" s="1">
        <v>10878</v>
      </c>
      <c r="E435" s="1">
        <v>69183</v>
      </c>
      <c r="F435" s="2">
        <v>42482</v>
      </c>
    </row>
    <row r="436" spans="1:6" x14ac:dyDescent="0.35">
      <c r="A436">
        <v>2020</v>
      </c>
      <c r="B436" t="s">
        <v>60</v>
      </c>
      <c r="C436" t="s">
        <v>3</v>
      </c>
      <c r="D436" s="1">
        <v>5464</v>
      </c>
      <c r="E436" s="1">
        <v>23724</v>
      </c>
      <c r="F436" s="2">
        <v>38111</v>
      </c>
    </row>
    <row r="437" spans="1:6" x14ac:dyDescent="0.35">
      <c r="A437">
        <v>2020</v>
      </c>
      <c r="B437" t="s">
        <v>60</v>
      </c>
      <c r="C437" t="s">
        <v>4</v>
      </c>
      <c r="D437" s="1">
        <v>97116</v>
      </c>
      <c r="E437" s="1">
        <v>452175</v>
      </c>
      <c r="F437" s="2">
        <v>47080</v>
      </c>
    </row>
    <row r="438" spans="1:6" x14ac:dyDescent="0.35">
      <c r="A438">
        <v>2020</v>
      </c>
      <c r="B438" t="s">
        <v>60</v>
      </c>
      <c r="C438" t="s">
        <v>5</v>
      </c>
      <c r="D438" s="1">
        <v>16860</v>
      </c>
      <c r="E438" s="1">
        <v>76766</v>
      </c>
      <c r="F438" s="2">
        <v>45642</v>
      </c>
    </row>
    <row r="439" spans="1:6" x14ac:dyDescent="0.35">
      <c r="A439">
        <v>2020</v>
      </c>
      <c r="B439" t="s">
        <v>60</v>
      </c>
      <c r="C439" t="s">
        <v>6</v>
      </c>
      <c r="D439" s="1">
        <v>12480</v>
      </c>
      <c r="E439" s="1">
        <v>48120</v>
      </c>
      <c r="F439" s="2">
        <v>42136</v>
      </c>
    </row>
    <row r="440" spans="1:6" x14ac:dyDescent="0.35">
      <c r="A440">
        <v>2020</v>
      </c>
      <c r="B440" t="s">
        <v>60</v>
      </c>
      <c r="C440" t="s">
        <v>7</v>
      </c>
      <c r="D440" s="1">
        <v>2088</v>
      </c>
      <c r="E440" s="1">
        <v>10706</v>
      </c>
      <c r="F440" s="2">
        <v>38135</v>
      </c>
    </row>
    <row r="441" spans="1:6" x14ac:dyDescent="0.35">
      <c r="A441">
        <v>2020</v>
      </c>
      <c r="B441" t="s">
        <v>60</v>
      </c>
      <c r="C441" t="s">
        <v>8</v>
      </c>
      <c r="D441" s="1">
        <v>54871</v>
      </c>
      <c r="E441" s="1">
        <v>254577</v>
      </c>
      <c r="F441" s="2">
        <v>41154</v>
      </c>
    </row>
    <row r="442" spans="1:6" x14ac:dyDescent="0.35">
      <c r="A442">
        <v>2020</v>
      </c>
      <c r="B442" t="s">
        <v>60</v>
      </c>
      <c r="C442" t="s">
        <v>9</v>
      </c>
      <c r="D442" s="1">
        <v>19294</v>
      </c>
      <c r="E442" s="1">
        <v>101509</v>
      </c>
      <c r="F442" s="2">
        <v>41319</v>
      </c>
    </row>
    <row r="443" spans="1:6" x14ac:dyDescent="0.35">
      <c r="A443">
        <v>2020</v>
      </c>
      <c r="B443" t="s">
        <v>60</v>
      </c>
      <c r="C443" t="s">
        <v>10</v>
      </c>
      <c r="D443" s="1">
        <v>4119</v>
      </c>
      <c r="E443" s="1">
        <v>18237</v>
      </c>
      <c r="F443" s="2">
        <v>35029</v>
      </c>
    </row>
    <row r="444" spans="1:6" x14ac:dyDescent="0.35">
      <c r="A444">
        <v>2020</v>
      </c>
      <c r="B444" t="s">
        <v>60</v>
      </c>
      <c r="C444" t="s">
        <v>11</v>
      </c>
      <c r="D444" s="1">
        <v>35477</v>
      </c>
      <c r="E444" s="1">
        <v>184359</v>
      </c>
      <c r="F444" s="2">
        <v>48230</v>
      </c>
    </row>
    <row r="445" spans="1:6" x14ac:dyDescent="0.35">
      <c r="A445">
        <v>2020</v>
      </c>
      <c r="B445" t="s">
        <v>60</v>
      </c>
      <c r="C445" t="s">
        <v>12</v>
      </c>
      <c r="D445" s="1">
        <v>13233</v>
      </c>
      <c r="E445" s="1">
        <v>80627</v>
      </c>
      <c r="F445" s="2">
        <v>36636</v>
      </c>
    </row>
    <row r="446" spans="1:6" x14ac:dyDescent="0.35">
      <c r="A446">
        <v>2020</v>
      </c>
      <c r="B446" t="s">
        <v>60</v>
      </c>
      <c r="C446" t="s">
        <v>13</v>
      </c>
      <c r="D446" s="1">
        <v>7585</v>
      </c>
      <c r="E446" s="1">
        <v>37229</v>
      </c>
      <c r="F446" s="2">
        <v>40163</v>
      </c>
    </row>
    <row r="447" spans="1:6" x14ac:dyDescent="0.35">
      <c r="A447">
        <v>2020</v>
      </c>
      <c r="B447" t="s">
        <v>60</v>
      </c>
      <c r="C447" t="s">
        <v>14</v>
      </c>
      <c r="D447" s="1">
        <v>5873</v>
      </c>
      <c r="E447" s="1">
        <v>31183</v>
      </c>
      <c r="F447" s="2">
        <v>38965</v>
      </c>
    </row>
    <row r="448" spans="1:6" x14ac:dyDescent="0.35">
      <c r="A448">
        <v>2020</v>
      </c>
      <c r="B448" t="s">
        <v>60</v>
      </c>
      <c r="C448" t="s">
        <v>15</v>
      </c>
      <c r="D448" s="1">
        <v>9084</v>
      </c>
      <c r="E448" s="1">
        <v>40228</v>
      </c>
      <c r="F448" s="2">
        <v>38895</v>
      </c>
    </row>
    <row r="449" spans="1:6" x14ac:dyDescent="0.35">
      <c r="A449">
        <v>2020</v>
      </c>
      <c r="B449" t="s">
        <v>60</v>
      </c>
      <c r="C449" t="s">
        <v>16</v>
      </c>
      <c r="D449" s="1">
        <v>9437</v>
      </c>
      <c r="E449" s="1">
        <v>41500</v>
      </c>
      <c r="F449" s="2">
        <v>41226</v>
      </c>
    </row>
    <row r="450" spans="1:6" x14ac:dyDescent="0.35">
      <c r="A450">
        <v>2020</v>
      </c>
      <c r="B450" t="s">
        <v>60</v>
      </c>
      <c r="C450" t="s">
        <v>17</v>
      </c>
      <c r="D450" s="1">
        <v>3830</v>
      </c>
      <c r="E450" s="1">
        <v>16120</v>
      </c>
      <c r="F450" s="2">
        <v>39497</v>
      </c>
    </row>
    <row r="451" spans="1:6" x14ac:dyDescent="0.35">
      <c r="A451">
        <v>2020</v>
      </c>
      <c r="B451" t="s">
        <v>60</v>
      </c>
      <c r="C451" t="s">
        <v>18</v>
      </c>
      <c r="D451" s="1">
        <v>19028</v>
      </c>
      <c r="E451" s="1">
        <v>78236</v>
      </c>
      <c r="F451" s="2">
        <v>48238</v>
      </c>
    </row>
    <row r="452" spans="1:6" x14ac:dyDescent="0.35">
      <c r="A452">
        <v>2020</v>
      </c>
      <c r="B452" t="s">
        <v>60</v>
      </c>
      <c r="C452" t="s">
        <v>19</v>
      </c>
      <c r="D452" s="1">
        <v>21927</v>
      </c>
      <c r="E452" s="1">
        <v>98276</v>
      </c>
      <c r="F452" s="2">
        <v>46345</v>
      </c>
    </row>
    <row r="453" spans="1:6" x14ac:dyDescent="0.35">
      <c r="A453">
        <v>2020</v>
      </c>
      <c r="B453" t="s">
        <v>60</v>
      </c>
      <c r="C453" t="s">
        <v>20</v>
      </c>
      <c r="D453" s="1">
        <v>25486</v>
      </c>
      <c r="E453" s="1">
        <v>114074</v>
      </c>
      <c r="F453" s="2">
        <v>39650</v>
      </c>
    </row>
    <row r="454" spans="1:6" x14ac:dyDescent="0.35">
      <c r="A454">
        <v>2020</v>
      </c>
      <c r="B454" t="s">
        <v>60</v>
      </c>
      <c r="C454" t="s">
        <v>21</v>
      </c>
      <c r="D454" s="1">
        <v>17118</v>
      </c>
      <c r="E454" s="1">
        <v>77083</v>
      </c>
      <c r="F454" s="2">
        <v>39485</v>
      </c>
    </row>
    <row r="455" spans="1:6" x14ac:dyDescent="0.35">
      <c r="A455">
        <v>2020</v>
      </c>
      <c r="B455" t="s">
        <v>60</v>
      </c>
      <c r="C455" t="s">
        <v>22</v>
      </c>
      <c r="D455" s="1">
        <v>4625</v>
      </c>
      <c r="E455" s="1">
        <v>19993</v>
      </c>
      <c r="F455" s="2">
        <v>38520</v>
      </c>
    </row>
    <row r="456" spans="1:6" x14ac:dyDescent="0.35">
      <c r="A456">
        <v>2020</v>
      </c>
      <c r="B456" t="s">
        <v>60</v>
      </c>
      <c r="C456" t="s">
        <v>23</v>
      </c>
      <c r="D456" s="1">
        <v>13399</v>
      </c>
      <c r="E456" s="1">
        <v>68557</v>
      </c>
      <c r="F456" s="2">
        <v>38496</v>
      </c>
    </row>
    <row r="457" spans="1:6" x14ac:dyDescent="0.35">
      <c r="A457">
        <v>2020</v>
      </c>
      <c r="B457" t="s">
        <v>60</v>
      </c>
      <c r="C457" t="s">
        <v>24</v>
      </c>
      <c r="D457" s="1">
        <v>4199</v>
      </c>
      <c r="E457" s="1">
        <v>17236</v>
      </c>
      <c r="F457" s="2">
        <v>34349</v>
      </c>
    </row>
    <row r="458" spans="1:6" x14ac:dyDescent="0.35">
      <c r="A458">
        <v>2020</v>
      </c>
      <c r="B458" t="s">
        <v>60</v>
      </c>
      <c r="C458" t="s">
        <v>25</v>
      </c>
      <c r="D458" s="1">
        <v>4602</v>
      </c>
      <c r="E458" s="1">
        <v>24061</v>
      </c>
      <c r="F458" s="2">
        <v>36266</v>
      </c>
    </row>
    <row r="459" spans="1:6" x14ac:dyDescent="0.35">
      <c r="A459">
        <v>2020</v>
      </c>
      <c r="B459" t="s">
        <v>60</v>
      </c>
      <c r="C459" t="s">
        <v>26</v>
      </c>
      <c r="D459" s="1">
        <v>5067</v>
      </c>
      <c r="E459" s="1">
        <v>30593</v>
      </c>
      <c r="F459" s="2">
        <v>41698</v>
      </c>
    </row>
    <row r="460" spans="1:6" x14ac:dyDescent="0.35">
      <c r="A460">
        <v>2020</v>
      </c>
      <c r="B460" t="s">
        <v>60</v>
      </c>
      <c r="C460" t="s">
        <v>27</v>
      </c>
      <c r="D460" s="1">
        <v>4109</v>
      </c>
      <c r="E460" s="1">
        <v>18869</v>
      </c>
      <c r="F460" s="2">
        <v>43107</v>
      </c>
    </row>
    <row r="461" spans="1:6" x14ac:dyDescent="0.35">
      <c r="A461">
        <v>2020</v>
      </c>
      <c r="B461" t="s">
        <v>60</v>
      </c>
      <c r="C461" t="s">
        <v>28</v>
      </c>
      <c r="D461" s="1">
        <v>24307</v>
      </c>
      <c r="E461" s="1">
        <v>114130</v>
      </c>
      <c r="F461" s="2">
        <v>41197</v>
      </c>
    </row>
    <row r="462" spans="1:6" x14ac:dyDescent="0.35">
      <c r="A462">
        <v>2020</v>
      </c>
      <c r="B462" t="s">
        <v>60</v>
      </c>
      <c r="C462" t="s">
        <v>29</v>
      </c>
      <c r="D462" s="1">
        <v>4261</v>
      </c>
      <c r="E462" s="1">
        <v>18424</v>
      </c>
      <c r="F462" s="2">
        <v>38699</v>
      </c>
    </row>
    <row r="463" spans="1:6" x14ac:dyDescent="0.35">
      <c r="A463">
        <v>2020</v>
      </c>
      <c r="B463" t="s">
        <v>60</v>
      </c>
      <c r="C463" t="s">
        <v>30</v>
      </c>
      <c r="D463" s="1">
        <v>70935</v>
      </c>
      <c r="E463" s="1">
        <v>307026</v>
      </c>
      <c r="F463" s="2">
        <v>49001</v>
      </c>
    </row>
    <row r="464" spans="1:6" x14ac:dyDescent="0.35">
      <c r="A464">
        <v>2020</v>
      </c>
      <c r="B464" t="s">
        <v>60</v>
      </c>
      <c r="C464" t="s">
        <v>31</v>
      </c>
      <c r="D464" s="1">
        <v>26011</v>
      </c>
      <c r="E464" s="1">
        <v>107703</v>
      </c>
      <c r="F464" s="2">
        <v>39794</v>
      </c>
    </row>
    <row r="465" spans="1:6" x14ac:dyDescent="0.35">
      <c r="A465">
        <v>2020</v>
      </c>
      <c r="B465" t="s">
        <v>60</v>
      </c>
      <c r="C465" t="s">
        <v>32</v>
      </c>
      <c r="D465" s="1">
        <v>2141</v>
      </c>
      <c r="E465" s="1">
        <v>10645</v>
      </c>
      <c r="F465" s="2">
        <v>40484</v>
      </c>
    </row>
    <row r="466" spans="1:6" x14ac:dyDescent="0.35">
      <c r="A466">
        <v>2020</v>
      </c>
      <c r="B466" t="s">
        <v>60</v>
      </c>
      <c r="C466" t="s">
        <v>33</v>
      </c>
      <c r="D466" s="1">
        <v>23929</v>
      </c>
      <c r="E466" s="1">
        <v>138448</v>
      </c>
      <c r="F466" s="2">
        <v>38332</v>
      </c>
    </row>
    <row r="467" spans="1:6" x14ac:dyDescent="0.35">
      <c r="A467">
        <v>2020</v>
      </c>
      <c r="B467" t="s">
        <v>60</v>
      </c>
      <c r="C467" t="s">
        <v>34</v>
      </c>
      <c r="D467" s="1">
        <v>6600</v>
      </c>
      <c r="E467" s="1">
        <v>34047</v>
      </c>
      <c r="F467" s="2">
        <v>37686</v>
      </c>
    </row>
    <row r="468" spans="1:6" x14ac:dyDescent="0.35">
      <c r="A468">
        <v>2020</v>
      </c>
      <c r="B468" t="s">
        <v>60</v>
      </c>
      <c r="C468" t="s">
        <v>35</v>
      </c>
      <c r="D468" s="1">
        <v>14853</v>
      </c>
      <c r="E468" s="1">
        <v>60924</v>
      </c>
      <c r="F468" s="2">
        <v>41296</v>
      </c>
    </row>
    <row r="469" spans="1:6" x14ac:dyDescent="0.35">
      <c r="A469">
        <v>2020</v>
      </c>
      <c r="B469" t="s">
        <v>60</v>
      </c>
      <c r="C469" t="s">
        <v>36</v>
      </c>
      <c r="D469" s="1">
        <v>33590</v>
      </c>
      <c r="E469" s="1">
        <v>169772</v>
      </c>
      <c r="F469" s="2">
        <v>39396</v>
      </c>
    </row>
    <row r="470" spans="1:6" x14ac:dyDescent="0.35">
      <c r="A470">
        <v>2020</v>
      </c>
      <c r="B470" t="s">
        <v>60</v>
      </c>
      <c r="C470" t="s">
        <v>37</v>
      </c>
      <c r="D470" s="1">
        <v>3576</v>
      </c>
      <c r="E470" s="1">
        <v>15156</v>
      </c>
      <c r="F470" s="2">
        <v>38763</v>
      </c>
    </row>
    <row r="471" spans="1:6" x14ac:dyDescent="0.35">
      <c r="A471">
        <v>2020</v>
      </c>
      <c r="B471" t="s">
        <v>60</v>
      </c>
      <c r="C471" t="s">
        <v>38</v>
      </c>
      <c r="D471" s="1">
        <v>10267</v>
      </c>
      <c r="E471" s="1">
        <v>49710</v>
      </c>
      <c r="F471" s="2">
        <v>38110</v>
      </c>
    </row>
    <row r="472" spans="1:6" x14ac:dyDescent="0.35">
      <c r="A472">
        <v>2020</v>
      </c>
      <c r="B472" t="s">
        <v>60</v>
      </c>
      <c r="C472" t="s">
        <v>39</v>
      </c>
      <c r="D472" s="1">
        <v>2313</v>
      </c>
      <c r="E472" s="1">
        <v>11077</v>
      </c>
      <c r="F472" s="2">
        <v>38165</v>
      </c>
    </row>
    <row r="473" spans="1:6" x14ac:dyDescent="0.35">
      <c r="A473">
        <v>2020</v>
      </c>
      <c r="B473" t="s">
        <v>60</v>
      </c>
      <c r="C473" t="s">
        <v>40</v>
      </c>
      <c r="D473" s="1">
        <v>12651</v>
      </c>
      <c r="E473" s="1">
        <v>70977</v>
      </c>
      <c r="F473" s="2">
        <v>40323</v>
      </c>
    </row>
    <row r="474" spans="1:6" x14ac:dyDescent="0.35">
      <c r="A474">
        <v>2020</v>
      </c>
      <c r="B474" t="s">
        <v>60</v>
      </c>
      <c r="C474" t="s">
        <v>41</v>
      </c>
      <c r="D474" s="1">
        <v>57936</v>
      </c>
      <c r="E474" s="1">
        <v>310244</v>
      </c>
      <c r="F474" s="2">
        <v>44055</v>
      </c>
    </row>
    <row r="475" spans="1:6" x14ac:dyDescent="0.35">
      <c r="A475">
        <v>2020</v>
      </c>
      <c r="B475" t="s">
        <v>60</v>
      </c>
      <c r="C475" t="s">
        <v>42</v>
      </c>
      <c r="D475" s="1">
        <v>6849</v>
      </c>
      <c r="E475" s="1">
        <v>35002</v>
      </c>
      <c r="F475" s="2">
        <v>39528</v>
      </c>
    </row>
    <row r="476" spans="1:6" x14ac:dyDescent="0.35">
      <c r="A476">
        <v>2020</v>
      </c>
      <c r="B476" t="s">
        <v>60</v>
      </c>
      <c r="C476" t="s">
        <v>43</v>
      </c>
      <c r="D476" s="1">
        <v>1995</v>
      </c>
      <c r="E476" s="1">
        <v>7681</v>
      </c>
      <c r="F476" s="2">
        <v>41304</v>
      </c>
    </row>
    <row r="477" spans="1:6" x14ac:dyDescent="0.35">
      <c r="A477">
        <v>2020</v>
      </c>
      <c r="B477" t="s">
        <v>60</v>
      </c>
      <c r="C477" t="s">
        <v>44</v>
      </c>
      <c r="D477" s="1">
        <v>29516</v>
      </c>
      <c r="E477" s="1">
        <v>121622</v>
      </c>
      <c r="F477" s="2">
        <v>50744</v>
      </c>
    </row>
    <row r="478" spans="1:6" x14ac:dyDescent="0.35">
      <c r="A478">
        <v>2020</v>
      </c>
      <c r="B478" t="s">
        <v>60</v>
      </c>
      <c r="C478" t="s">
        <v>45</v>
      </c>
      <c r="D478" s="1">
        <v>20259</v>
      </c>
      <c r="E478" s="1">
        <v>89105</v>
      </c>
      <c r="F478" s="2">
        <v>46691</v>
      </c>
    </row>
    <row r="479" spans="1:6" x14ac:dyDescent="0.35">
      <c r="A479">
        <v>2020</v>
      </c>
      <c r="B479" t="s">
        <v>60</v>
      </c>
      <c r="C479" t="s">
        <v>46</v>
      </c>
      <c r="D479" s="1">
        <v>3442</v>
      </c>
      <c r="E479" s="1">
        <v>15621</v>
      </c>
      <c r="F479" s="2">
        <v>35759</v>
      </c>
    </row>
    <row r="480" spans="1:6" x14ac:dyDescent="0.35">
      <c r="A480">
        <v>2020</v>
      </c>
      <c r="B480" t="s">
        <v>60</v>
      </c>
      <c r="C480" t="s">
        <v>47</v>
      </c>
      <c r="D480" s="1">
        <v>13143</v>
      </c>
      <c r="E480" s="1">
        <v>74028</v>
      </c>
      <c r="F480" s="2">
        <v>36058</v>
      </c>
    </row>
    <row r="481" spans="1:6" x14ac:dyDescent="0.35">
      <c r="A481">
        <v>2020</v>
      </c>
      <c r="B481" t="s">
        <v>60</v>
      </c>
      <c r="C481" t="s">
        <v>48</v>
      </c>
      <c r="D481" s="1">
        <v>1669</v>
      </c>
      <c r="E481" s="1">
        <v>6769</v>
      </c>
      <c r="F481" s="2">
        <v>40253</v>
      </c>
    </row>
    <row r="482" spans="1:6" x14ac:dyDescent="0.35">
      <c r="A482">
        <v>2019</v>
      </c>
      <c r="B482" t="s">
        <v>55</v>
      </c>
      <c r="C482" t="s">
        <v>1</v>
      </c>
      <c r="D482" s="1">
        <v>1846</v>
      </c>
      <c r="E482" s="1">
        <v>18939</v>
      </c>
      <c r="F482" s="2">
        <v>56529</v>
      </c>
    </row>
    <row r="483" spans="1:6" x14ac:dyDescent="0.35">
      <c r="A483">
        <v>2019</v>
      </c>
      <c r="B483" t="s">
        <v>55</v>
      </c>
      <c r="C483" t="s">
        <v>2</v>
      </c>
      <c r="D483" s="1">
        <v>1358</v>
      </c>
      <c r="E483" s="1">
        <v>37970</v>
      </c>
      <c r="F483" s="2">
        <v>52262</v>
      </c>
    </row>
    <row r="484" spans="1:6" x14ac:dyDescent="0.35">
      <c r="A484">
        <v>2019</v>
      </c>
      <c r="B484" t="s">
        <v>55</v>
      </c>
      <c r="C484" t="s">
        <v>3</v>
      </c>
      <c r="D484" s="1">
        <v>2577</v>
      </c>
      <c r="E484" s="1">
        <v>16390</v>
      </c>
      <c r="F484" s="2">
        <v>48299</v>
      </c>
    </row>
    <row r="485" spans="1:6" x14ac:dyDescent="0.35">
      <c r="A485">
        <v>2019</v>
      </c>
      <c r="B485" t="s">
        <v>55</v>
      </c>
      <c r="C485" t="s">
        <v>4</v>
      </c>
      <c r="D485" s="1">
        <v>17663</v>
      </c>
      <c r="E485" s="1">
        <v>443581</v>
      </c>
      <c r="F485" s="2">
        <v>40246</v>
      </c>
    </row>
    <row r="486" spans="1:6" x14ac:dyDescent="0.35">
      <c r="A486">
        <v>2019</v>
      </c>
      <c r="B486" t="s">
        <v>55</v>
      </c>
      <c r="C486" t="s">
        <v>5</v>
      </c>
      <c r="D486" s="1">
        <v>3279</v>
      </c>
      <c r="E486" s="1">
        <v>48392</v>
      </c>
      <c r="F486" s="2">
        <v>90328</v>
      </c>
    </row>
    <row r="487" spans="1:6" x14ac:dyDescent="0.35">
      <c r="A487">
        <v>2019</v>
      </c>
      <c r="B487" t="s">
        <v>55</v>
      </c>
      <c r="C487" t="s">
        <v>6</v>
      </c>
      <c r="D487">
        <v>437</v>
      </c>
      <c r="E487" s="1">
        <v>5258</v>
      </c>
      <c r="F487" s="2">
        <v>41449</v>
      </c>
    </row>
    <row r="488" spans="1:6" x14ac:dyDescent="0.35">
      <c r="A488">
        <v>2019</v>
      </c>
      <c r="B488" t="s">
        <v>55</v>
      </c>
      <c r="C488" t="s">
        <v>7</v>
      </c>
      <c r="D488">
        <v>180</v>
      </c>
      <c r="E488" s="1">
        <v>1471</v>
      </c>
      <c r="F488" s="2">
        <v>42123</v>
      </c>
    </row>
    <row r="489" spans="1:6" x14ac:dyDescent="0.35">
      <c r="A489">
        <v>2019</v>
      </c>
      <c r="B489" t="s">
        <v>55</v>
      </c>
      <c r="C489" t="s">
        <v>8</v>
      </c>
      <c r="D489" s="1">
        <v>5304</v>
      </c>
      <c r="E489" s="1">
        <v>71329</v>
      </c>
      <c r="F489" s="2">
        <v>35645</v>
      </c>
    </row>
    <row r="490" spans="1:6" x14ac:dyDescent="0.35">
      <c r="A490">
        <v>2019</v>
      </c>
      <c r="B490" t="s">
        <v>55</v>
      </c>
      <c r="C490" t="s">
        <v>9</v>
      </c>
      <c r="D490" s="1">
        <v>2662</v>
      </c>
      <c r="E490" s="1">
        <v>29910</v>
      </c>
      <c r="F490" s="2">
        <v>43258</v>
      </c>
    </row>
    <row r="491" spans="1:6" x14ac:dyDescent="0.35">
      <c r="A491">
        <v>2019</v>
      </c>
      <c r="B491" t="s">
        <v>55</v>
      </c>
      <c r="C491" t="s">
        <v>10</v>
      </c>
      <c r="D491" s="1">
        <v>2401</v>
      </c>
      <c r="E491" s="1">
        <v>26555</v>
      </c>
      <c r="F491" s="2">
        <v>41105</v>
      </c>
    </row>
    <row r="492" spans="1:6" x14ac:dyDescent="0.35">
      <c r="A492">
        <v>2019</v>
      </c>
      <c r="B492" t="s">
        <v>55</v>
      </c>
      <c r="C492" t="s">
        <v>11</v>
      </c>
      <c r="D492" s="1">
        <v>2825</v>
      </c>
      <c r="E492" s="1">
        <v>26828</v>
      </c>
      <c r="F492" s="2">
        <v>52197</v>
      </c>
    </row>
    <row r="493" spans="1:6" x14ac:dyDescent="0.35">
      <c r="A493">
        <v>2019</v>
      </c>
      <c r="B493" t="s">
        <v>55</v>
      </c>
      <c r="C493" t="s">
        <v>12</v>
      </c>
      <c r="D493" s="1">
        <v>2255</v>
      </c>
      <c r="E493" s="1">
        <v>21475</v>
      </c>
      <c r="F493" s="2">
        <v>50243</v>
      </c>
    </row>
    <row r="494" spans="1:6" x14ac:dyDescent="0.35">
      <c r="A494">
        <v>2019</v>
      </c>
      <c r="B494" t="s">
        <v>55</v>
      </c>
      <c r="C494" t="s">
        <v>13</v>
      </c>
      <c r="D494" s="1">
        <v>2916</v>
      </c>
      <c r="E494" s="1">
        <v>23431</v>
      </c>
      <c r="F494" s="2">
        <v>44087</v>
      </c>
    </row>
    <row r="495" spans="1:6" x14ac:dyDescent="0.35">
      <c r="A495">
        <v>2019</v>
      </c>
      <c r="B495" t="s">
        <v>55</v>
      </c>
      <c r="C495" t="s">
        <v>14</v>
      </c>
      <c r="D495" s="1">
        <v>2612</v>
      </c>
      <c r="E495" s="1">
        <v>19353</v>
      </c>
      <c r="F495" s="2">
        <v>47802</v>
      </c>
    </row>
    <row r="496" spans="1:6" x14ac:dyDescent="0.35">
      <c r="A496">
        <v>2019</v>
      </c>
      <c r="B496" t="s">
        <v>55</v>
      </c>
      <c r="C496" t="s">
        <v>15</v>
      </c>
      <c r="D496" s="1">
        <v>1561</v>
      </c>
      <c r="E496" s="1">
        <v>18911</v>
      </c>
      <c r="F496" s="2">
        <v>56448</v>
      </c>
    </row>
    <row r="497" spans="1:6" x14ac:dyDescent="0.35">
      <c r="A497">
        <v>2019</v>
      </c>
      <c r="B497" t="s">
        <v>55</v>
      </c>
      <c r="C497" t="s">
        <v>16</v>
      </c>
      <c r="D497" s="1">
        <v>3133</v>
      </c>
      <c r="E497" s="1">
        <v>44052</v>
      </c>
      <c r="F497" s="2">
        <v>87820</v>
      </c>
    </row>
    <row r="498" spans="1:6" x14ac:dyDescent="0.35">
      <c r="A498">
        <v>2019</v>
      </c>
      <c r="B498" t="s">
        <v>55</v>
      </c>
      <c r="C498" t="s">
        <v>17</v>
      </c>
      <c r="D498" s="1">
        <v>1447</v>
      </c>
      <c r="E498" s="1">
        <v>7281</v>
      </c>
      <c r="F498" s="2">
        <v>41157</v>
      </c>
    </row>
    <row r="499" spans="1:6" x14ac:dyDescent="0.35">
      <c r="A499">
        <v>2019</v>
      </c>
      <c r="B499" t="s">
        <v>55</v>
      </c>
      <c r="C499" t="s">
        <v>18</v>
      </c>
      <c r="D499">
        <v>723</v>
      </c>
      <c r="E499" s="1">
        <v>7194</v>
      </c>
      <c r="F499" s="2">
        <v>44642</v>
      </c>
    </row>
    <row r="500" spans="1:6" x14ac:dyDescent="0.35">
      <c r="A500">
        <v>2019</v>
      </c>
      <c r="B500" t="s">
        <v>55</v>
      </c>
      <c r="C500" t="s">
        <v>19</v>
      </c>
      <c r="D500" s="1">
        <v>1007</v>
      </c>
      <c r="E500" s="1">
        <v>10500</v>
      </c>
      <c r="F500" s="2">
        <v>63846</v>
      </c>
    </row>
    <row r="501" spans="1:6" x14ac:dyDescent="0.35">
      <c r="A501">
        <v>2019</v>
      </c>
      <c r="B501" t="s">
        <v>55</v>
      </c>
      <c r="C501" t="s">
        <v>20</v>
      </c>
      <c r="D501" s="1">
        <v>3480</v>
      </c>
      <c r="E501" s="1">
        <v>35622</v>
      </c>
      <c r="F501" s="2">
        <v>41799</v>
      </c>
    </row>
    <row r="502" spans="1:6" x14ac:dyDescent="0.35">
      <c r="A502">
        <v>2019</v>
      </c>
      <c r="B502" t="s">
        <v>55</v>
      </c>
      <c r="C502" t="s">
        <v>21</v>
      </c>
      <c r="D502" s="1">
        <v>3094</v>
      </c>
      <c r="E502" s="1">
        <v>28134</v>
      </c>
      <c r="F502" s="2">
        <v>51107</v>
      </c>
    </row>
    <row r="503" spans="1:6" x14ac:dyDescent="0.35">
      <c r="A503">
        <v>2019</v>
      </c>
      <c r="B503" t="s">
        <v>55</v>
      </c>
      <c r="C503" t="s">
        <v>22</v>
      </c>
      <c r="D503" s="1">
        <v>2110</v>
      </c>
      <c r="E503" s="1">
        <v>15777</v>
      </c>
      <c r="F503" s="2">
        <v>49263</v>
      </c>
    </row>
    <row r="504" spans="1:6" x14ac:dyDescent="0.35">
      <c r="A504">
        <v>2019</v>
      </c>
      <c r="B504" t="s">
        <v>55</v>
      </c>
      <c r="C504" t="s">
        <v>23</v>
      </c>
      <c r="D504" s="1">
        <v>2031</v>
      </c>
      <c r="E504" s="1">
        <v>16899</v>
      </c>
      <c r="F504" s="2">
        <v>44815</v>
      </c>
    </row>
    <row r="505" spans="1:6" x14ac:dyDescent="0.35">
      <c r="A505">
        <v>2019</v>
      </c>
      <c r="B505" t="s">
        <v>55</v>
      </c>
      <c r="C505" t="s">
        <v>24</v>
      </c>
      <c r="D505" s="1">
        <v>1789</v>
      </c>
      <c r="E505" s="1">
        <v>12792</v>
      </c>
      <c r="F505" s="2">
        <v>67162</v>
      </c>
    </row>
    <row r="506" spans="1:6" x14ac:dyDescent="0.35">
      <c r="A506">
        <v>2019</v>
      </c>
      <c r="B506" t="s">
        <v>55</v>
      </c>
      <c r="C506" t="s">
        <v>25</v>
      </c>
      <c r="D506" s="1">
        <v>2414</v>
      </c>
      <c r="E506" s="1">
        <v>15761</v>
      </c>
      <c r="F506" s="2">
        <v>42685</v>
      </c>
    </row>
    <row r="507" spans="1:6" x14ac:dyDescent="0.35">
      <c r="A507">
        <v>2019</v>
      </c>
      <c r="B507" t="s">
        <v>55</v>
      </c>
      <c r="C507" t="s">
        <v>26</v>
      </c>
      <c r="D507">
        <v>618</v>
      </c>
      <c r="E507" s="1">
        <v>19841</v>
      </c>
      <c r="F507" s="2">
        <v>86362</v>
      </c>
    </row>
    <row r="508" spans="1:6" x14ac:dyDescent="0.35">
      <c r="A508">
        <v>2019</v>
      </c>
      <c r="B508" t="s">
        <v>55</v>
      </c>
      <c r="C508" t="s">
        <v>27</v>
      </c>
      <c r="D508">
        <v>350</v>
      </c>
      <c r="E508" s="1">
        <v>2627</v>
      </c>
      <c r="F508" s="2">
        <v>44073</v>
      </c>
    </row>
    <row r="509" spans="1:6" x14ac:dyDescent="0.35">
      <c r="A509">
        <v>2019</v>
      </c>
      <c r="B509" t="s">
        <v>55</v>
      </c>
      <c r="C509" t="s">
        <v>28</v>
      </c>
      <c r="D509">
        <v>998</v>
      </c>
      <c r="E509" s="1">
        <v>12407</v>
      </c>
      <c r="F509" s="2">
        <v>41732</v>
      </c>
    </row>
    <row r="510" spans="1:6" x14ac:dyDescent="0.35">
      <c r="A510">
        <v>2019</v>
      </c>
      <c r="B510" t="s">
        <v>55</v>
      </c>
      <c r="C510" t="s">
        <v>29</v>
      </c>
      <c r="D510" s="1">
        <v>2100</v>
      </c>
      <c r="E510" s="1">
        <v>36949</v>
      </c>
      <c r="F510" s="2">
        <v>68427</v>
      </c>
    </row>
    <row r="511" spans="1:6" x14ac:dyDescent="0.35">
      <c r="A511">
        <v>2019</v>
      </c>
      <c r="B511" t="s">
        <v>55</v>
      </c>
      <c r="C511" t="s">
        <v>30</v>
      </c>
      <c r="D511" s="1">
        <v>3053</v>
      </c>
      <c r="E511" s="1">
        <v>31787</v>
      </c>
      <c r="F511" s="2">
        <v>42992</v>
      </c>
    </row>
    <row r="512" spans="1:6" x14ac:dyDescent="0.35">
      <c r="A512">
        <v>2019</v>
      </c>
      <c r="B512" t="s">
        <v>55</v>
      </c>
      <c r="C512" t="s">
        <v>31</v>
      </c>
      <c r="D512" s="1">
        <v>3378</v>
      </c>
      <c r="E512" s="1">
        <v>29828</v>
      </c>
      <c r="F512" s="2">
        <v>40862</v>
      </c>
    </row>
    <row r="513" spans="1:6" x14ac:dyDescent="0.35">
      <c r="A513">
        <v>2019</v>
      </c>
      <c r="B513" t="s">
        <v>55</v>
      </c>
      <c r="C513" t="s">
        <v>32</v>
      </c>
      <c r="D513" s="1">
        <v>1784</v>
      </c>
      <c r="E513" s="1">
        <v>25973</v>
      </c>
      <c r="F513" s="2">
        <v>97355</v>
      </c>
    </row>
    <row r="514" spans="1:6" x14ac:dyDescent="0.35">
      <c r="A514">
        <v>2019</v>
      </c>
      <c r="B514" t="s">
        <v>55</v>
      </c>
      <c r="C514" t="s">
        <v>33</v>
      </c>
      <c r="D514" s="1">
        <v>2531</v>
      </c>
      <c r="E514" s="1">
        <v>28532</v>
      </c>
      <c r="F514" s="2">
        <v>51860</v>
      </c>
    </row>
    <row r="515" spans="1:6" x14ac:dyDescent="0.35">
      <c r="A515">
        <v>2019</v>
      </c>
      <c r="B515" t="s">
        <v>55</v>
      </c>
      <c r="C515" t="s">
        <v>34</v>
      </c>
      <c r="D515" s="1">
        <v>4402</v>
      </c>
      <c r="E515" s="1">
        <v>56786</v>
      </c>
      <c r="F515" s="2">
        <v>91249</v>
      </c>
    </row>
    <row r="516" spans="1:6" x14ac:dyDescent="0.35">
      <c r="A516">
        <v>2019</v>
      </c>
      <c r="B516" t="s">
        <v>55</v>
      </c>
      <c r="C516" t="s">
        <v>35</v>
      </c>
      <c r="D516" s="1">
        <v>4633</v>
      </c>
      <c r="E516" s="1">
        <v>54550</v>
      </c>
      <c r="F516" s="2">
        <v>37586</v>
      </c>
    </row>
    <row r="517" spans="1:6" x14ac:dyDescent="0.35">
      <c r="A517">
        <v>2019</v>
      </c>
      <c r="B517" t="s">
        <v>55</v>
      </c>
      <c r="C517" t="s">
        <v>36</v>
      </c>
      <c r="D517" s="1">
        <v>3616</v>
      </c>
      <c r="E517" s="1">
        <v>52904</v>
      </c>
      <c r="F517" s="2">
        <v>65014</v>
      </c>
    </row>
    <row r="518" spans="1:6" x14ac:dyDescent="0.35">
      <c r="A518">
        <v>2019</v>
      </c>
      <c r="B518" t="s">
        <v>55</v>
      </c>
      <c r="C518" t="s">
        <v>37</v>
      </c>
      <c r="D518">
        <v>198</v>
      </c>
      <c r="E518" s="1">
        <v>1121</v>
      </c>
      <c r="F518" s="2">
        <v>39917</v>
      </c>
    </row>
    <row r="519" spans="1:6" x14ac:dyDescent="0.35">
      <c r="A519">
        <v>2019</v>
      </c>
      <c r="B519" t="s">
        <v>55</v>
      </c>
      <c r="C519" t="s">
        <v>38</v>
      </c>
      <c r="D519" s="1">
        <v>1345</v>
      </c>
      <c r="E519" s="1">
        <v>12552</v>
      </c>
      <c r="F519" s="2">
        <v>43952</v>
      </c>
    </row>
    <row r="520" spans="1:6" x14ac:dyDescent="0.35">
      <c r="A520">
        <v>2019</v>
      </c>
      <c r="B520" t="s">
        <v>55</v>
      </c>
      <c r="C520" t="s">
        <v>39</v>
      </c>
      <c r="D520" s="1">
        <v>1063</v>
      </c>
      <c r="E520" s="1">
        <v>6986</v>
      </c>
      <c r="F520" s="2">
        <v>43642</v>
      </c>
    </row>
    <row r="521" spans="1:6" x14ac:dyDescent="0.35">
      <c r="A521">
        <v>2019</v>
      </c>
      <c r="B521" t="s">
        <v>55</v>
      </c>
      <c r="C521" t="s">
        <v>40</v>
      </c>
      <c r="D521" s="1">
        <v>1107</v>
      </c>
      <c r="E521" s="1">
        <v>11568</v>
      </c>
      <c r="F521" s="2">
        <v>46865</v>
      </c>
    </row>
    <row r="522" spans="1:6" x14ac:dyDescent="0.35">
      <c r="A522">
        <v>2019</v>
      </c>
      <c r="B522" t="s">
        <v>55</v>
      </c>
      <c r="C522" t="s">
        <v>41</v>
      </c>
      <c r="D522" s="1">
        <v>19971</v>
      </c>
      <c r="E522" s="1">
        <v>307800</v>
      </c>
      <c r="F522" s="2">
        <v>114918</v>
      </c>
    </row>
    <row r="523" spans="1:6" x14ac:dyDescent="0.35">
      <c r="A523">
        <v>2019</v>
      </c>
      <c r="B523" t="s">
        <v>55</v>
      </c>
      <c r="C523" t="s">
        <v>42</v>
      </c>
      <c r="D523" s="1">
        <v>1032</v>
      </c>
      <c r="E523" s="1">
        <v>15160</v>
      </c>
      <c r="F523" s="2">
        <v>63604</v>
      </c>
    </row>
    <row r="524" spans="1:6" x14ac:dyDescent="0.35">
      <c r="A524">
        <v>2019</v>
      </c>
      <c r="B524" t="s">
        <v>55</v>
      </c>
      <c r="C524" t="s">
        <v>43</v>
      </c>
      <c r="D524">
        <v>564</v>
      </c>
      <c r="E524" s="1">
        <v>4130</v>
      </c>
      <c r="F524" s="2">
        <v>39607</v>
      </c>
    </row>
    <row r="525" spans="1:6" x14ac:dyDescent="0.35">
      <c r="A525">
        <v>2019</v>
      </c>
      <c r="B525" t="s">
        <v>55</v>
      </c>
      <c r="C525" t="s">
        <v>44</v>
      </c>
      <c r="D525" s="1">
        <v>2095</v>
      </c>
      <c r="E525" s="1">
        <v>18691</v>
      </c>
      <c r="F525" s="2">
        <v>48704</v>
      </c>
    </row>
    <row r="526" spans="1:6" x14ac:dyDescent="0.35">
      <c r="A526">
        <v>2019</v>
      </c>
      <c r="B526" t="s">
        <v>55</v>
      </c>
      <c r="C526" t="s">
        <v>45</v>
      </c>
      <c r="D526" s="1">
        <v>7117</v>
      </c>
      <c r="E526" s="1">
        <v>105362</v>
      </c>
      <c r="F526" s="2">
        <v>34547</v>
      </c>
    </row>
    <row r="527" spans="1:6" x14ac:dyDescent="0.35">
      <c r="A527">
        <v>2019</v>
      </c>
      <c r="B527" t="s">
        <v>55</v>
      </c>
      <c r="C527" t="s">
        <v>46</v>
      </c>
      <c r="D527" s="1">
        <v>1166</v>
      </c>
      <c r="E527" s="1">
        <v>23333</v>
      </c>
      <c r="F527" s="2">
        <v>80470</v>
      </c>
    </row>
    <row r="528" spans="1:6" x14ac:dyDescent="0.35">
      <c r="A528">
        <v>2019</v>
      </c>
      <c r="B528" t="s">
        <v>55</v>
      </c>
      <c r="C528" t="s">
        <v>47</v>
      </c>
      <c r="D528" s="1">
        <v>2876</v>
      </c>
      <c r="E528" s="1">
        <v>31424</v>
      </c>
      <c r="F528" s="2">
        <v>40225</v>
      </c>
    </row>
    <row r="529" spans="1:6" x14ac:dyDescent="0.35">
      <c r="A529">
        <v>2019</v>
      </c>
      <c r="B529" t="s">
        <v>55</v>
      </c>
      <c r="C529" t="s">
        <v>48</v>
      </c>
      <c r="D529" s="1">
        <v>1463</v>
      </c>
      <c r="E529" s="1">
        <v>23524</v>
      </c>
      <c r="F529" s="2">
        <v>86467</v>
      </c>
    </row>
    <row r="530" spans="1:6" x14ac:dyDescent="0.35">
      <c r="A530">
        <v>2019</v>
      </c>
      <c r="B530" t="s">
        <v>51</v>
      </c>
      <c r="C530" t="s">
        <v>1</v>
      </c>
      <c r="D530" s="1">
        <v>10069</v>
      </c>
      <c r="E530" s="1">
        <v>93619</v>
      </c>
      <c r="F530" s="2">
        <v>56141</v>
      </c>
    </row>
    <row r="531" spans="1:6" x14ac:dyDescent="0.35">
      <c r="A531">
        <v>2019</v>
      </c>
      <c r="B531" t="s">
        <v>51</v>
      </c>
      <c r="C531" t="s">
        <v>2</v>
      </c>
      <c r="D531" s="1">
        <v>13677</v>
      </c>
      <c r="E531" s="1">
        <v>171309</v>
      </c>
      <c r="F531" s="2">
        <v>58621</v>
      </c>
    </row>
    <row r="532" spans="1:6" x14ac:dyDescent="0.35">
      <c r="A532">
        <v>2019</v>
      </c>
      <c r="B532" t="s">
        <v>51</v>
      </c>
      <c r="C532" t="s">
        <v>3</v>
      </c>
      <c r="D532" s="1">
        <v>7093</v>
      </c>
      <c r="E532" s="1">
        <v>52538</v>
      </c>
      <c r="F532" s="2">
        <v>49541</v>
      </c>
    </row>
    <row r="533" spans="1:6" x14ac:dyDescent="0.35">
      <c r="A533">
        <v>2019</v>
      </c>
      <c r="B533" t="s">
        <v>51</v>
      </c>
      <c r="C533" t="s">
        <v>4</v>
      </c>
      <c r="D533" s="1">
        <v>84247</v>
      </c>
      <c r="E533" s="1">
        <v>885668</v>
      </c>
      <c r="F533" s="2">
        <v>73343</v>
      </c>
    </row>
    <row r="534" spans="1:6" x14ac:dyDescent="0.35">
      <c r="A534">
        <v>2019</v>
      </c>
      <c r="B534" t="s">
        <v>51</v>
      </c>
      <c r="C534" t="s">
        <v>5</v>
      </c>
      <c r="D534" s="1">
        <v>20430</v>
      </c>
      <c r="E534" s="1">
        <v>178880</v>
      </c>
      <c r="F534" s="2">
        <v>64603</v>
      </c>
    </row>
    <row r="535" spans="1:6" x14ac:dyDescent="0.35">
      <c r="A535">
        <v>2019</v>
      </c>
      <c r="B535" t="s">
        <v>51</v>
      </c>
      <c r="C535" t="s">
        <v>6</v>
      </c>
      <c r="D535" s="1">
        <v>9496</v>
      </c>
      <c r="E535" s="1">
        <v>59731</v>
      </c>
      <c r="F535" s="2">
        <v>72413</v>
      </c>
    </row>
    <row r="536" spans="1:6" x14ac:dyDescent="0.35">
      <c r="A536">
        <v>2019</v>
      </c>
      <c r="B536" t="s">
        <v>51</v>
      </c>
      <c r="C536" t="s">
        <v>7</v>
      </c>
      <c r="D536" s="1">
        <v>3007</v>
      </c>
      <c r="E536" s="1">
        <v>22909</v>
      </c>
      <c r="F536" s="2">
        <v>62481</v>
      </c>
    </row>
    <row r="537" spans="1:6" x14ac:dyDescent="0.35">
      <c r="A537">
        <v>2019</v>
      </c>
      <c r="B537" t="s">
        <v>51</v>
      </c>
      <c r="C537" t="s">
        <v>8</v>
      </c>
      <c r="D537" s="1">
        <v>74711</v>
      </c>
      <c r="E537" s="1">
        <v>563526</v>
      </c>
      <c r="F537" s="2">
        <v>52893</v>
      </c>
    </row>
    <row r="538" spans="1:6" x14ac:dyDescent="0.35">
      <c r="A538">
        <v>2019</v>
      </c>
      <c r="B538" t="s">
        <v>51</v>
      </c>
      <c r="C538" t="s">
        <v>9</v>
      </c>
      <c r="D538" s="1">
        <v>21408</v>
      </c>
      <c r="E538" s="1">
        <v>203951</v>
      </c>
      <c r="F538" s="2">
        <v>63683</v>
      </c>
    </row>
    <row r="539" spans="1:6" x14ac:dyDescent="0.35">
      <c r="A539">
        <v>2019</v>
      </c>
      <c r="B539" t="s">
        <v>51</v>
      </c>
      <c r="C539" t="s">
        <v>10</v>
      </c>
      <c r="D539" s="1">
        <v>8175</v>
      </c>
      <c r="E539" s="1">
        <v>50684</v>
      </c>
      <c r="F539" s="2">
        <v>46258</v>
      </c>
    </row>
    <row r="540" spans="1:6" x14ac:dyDescent="0.35">
      <c r="A540">
        <v>2019</v>
      </c>
      <c r="B540" t="s">
        <v>51</v>
      </c>
      <c r="C540" t="s">
        <v>11</v>
      </c>
      <c r="D540" s="1">
        <v>32686</v>
      </c>
      <c r="E540" s="1">
        <v>227968</v>
      </c>
      <c r="F540" s="2">
        <v>73799</v>
      </c>
    </row>
    <row r="541" spans="1:6" x14ac:dyDescent="0.35">
      <c r="A541">
        <v>2019</v>
      </c>
      <c r="B541" t="s">
        <v>51</v>
      </c>
      <c r="C541" t="s">
        <v>12</v>
      </c>
      <c r="D541" s="1">
        <v>15232</v>
      </c>
      <c r="E541" s="1">
        <v>145851</v>
      </c>
      <c r="F541" s="2">
        <v>60057</v>
      </c>
    </row>
    <row r="542" spans="1:6" x14ac:dyDescent="0.35">
      <c r="A542">
        <v>2019</v>
      </c>
      <c r="B542" t="s">
        <v>51</v>
      </c>
      <c r="C542" t="s">
        <v>13</v>
      </c>
      <c r="D542" s="1">
        <v>9462</v>
      </c>
      <c r="E542" s="1">
        <v>78134</v>
      </c>
      <c r="F542" s="2">
        <v>58962</v>
      </c>
    </row>
    <row r="543" spans="1:6" x14ac:dyDescent="0.35">
      <c r="A543">
        <v>2019</v>
      </c>
      <c r="B543" t="s">
        <v>51</v>
      </c>
      <c r="C543" t="s">
        <v>14</v>
      </c>
      <c r="D543" s="1">
        <v>7399</v>
      </c>
      <c r="E543" s="1">
        <v>63735</v>
      </c>
      <c r="F543" s="2">
        <v>57030</v>
      </c>
    </row>
    <row r="544" spans="1:6" x14ac:dyDescent="0.35">
      <c r="A544">
        <v>2019</v>
      </c>
      <c r="B544" t="s">
        <v>51</v>
      </c>
      <c r="C544" t="s">
        <v>15</v>
      </c>
      <c r="D544" s="1">
        <v>9517</v>
      </c>
      <c r="E544" s="1">
        <v>80463</v>
      </c>
      <c r="F544" s="2">
        <v>55601</v>
      </c>
    </row>
    <row r="545" spans="1:6" x14ac:dyDescent="0.35">
      <c r="A545">
        <v>2019</v>
      </c>
      <c r="B545" t="s">
        <v>51</v>
      </c>
      <c r="C545" t="s">
        <v>16</v>
      </c>
      <c r="D545" s="1">
        <v>10991</v>
      </c>
      <c r="E545" s="1">
        <v>142033</v>
      </c>
      <c r="F545" s="2">
        <v>64940</v>
      </c>
    </row>
    <row r="546" spans="1:6" x14ac:dyDescent="0.35">
      <c r="A546">
        <v>2019</v>
      </c>
      <c r="B546" t="s">
        <v>51</v>
      </c>
      <c r="C546" t="s">
        <v>17</v>
      </c>
      <c r="D546" s="1">
        <v>5605</v>
      </c>
      <c r="E546" s="1">
        <v>29987</v>
      </c>
      <c r="F546" s="2">
        <v>51654</v>
      </c>
    </row>
    <row r="547" spans="1:6" x14ac:dyDescent="0.35">
      <c r="A547">
        <v>2019</v>
      </c>
      <c r="B547" t="s">
        <v>51</v>
      </c>
      <c r="C547" t="s">
        <v>18</v>
      </c>
      <c r="D547" s="1">
        <v>16694</v>
      </c>
      <c r="E547" s="1">
        <v>166132</v>
      </c>
      <c r="F547" s="2">
        <v>67799</v>
      </c>
    </row>
    <row r="548" spans="1:6" x14ac:dyDescent="0.35">
      <c r="A548">
        <v>2019</v>
      </c>
      <c r="B548" t="s">
        <v>51</v>
      </c>
      <c r="C548" t="s">
        <v>19</v>
      </c>
      <c r="D548" s="1">
        <v>21309</v>
      </c>
      <c r="E548" s="1">
        <v>163062</v>
      </c>
      <c r="F548" s="2">
        <v>81436</v>
      </c>
    </row>
    <row r="549" spans="1:6" x14ac:dyDescent="0.35">
      <c r="A549">
        <v>2019</v>
      </c>
      <c r="B549" t="s">
        <v>51</v>
      </c>
      <c r="C549" t="s">
        <v>20</v>
      </c>
      <c r="D549" s="1">
        <v>21106</v>
      </c>
      <c r="E549" s="1">
        <v>173015</v>
      </c>
      <c r="F549" s="2">
        <v>63588</v>
      </c>
    </row>
    <row r="550" spans="1:6" x14ac:dyDescent="0.35">
      <c r="A550">
        <v>2019</v>
      </c>
      <c r="B550" t="s">
        <v>51</v>
      </c>
      <c r="C550" t="s">
        <v>21</v>
      </c>
      <c r="D550" s="1">
        <v>16700</v>
      </c>
      <c r="E550" s="1">
        <v>127092</v>
      </c>
      <c r="F550" s="2">
        <v>69734</v>
      </c>
    </row>
    <row r="551" spans="1:6" x14ac:dyDescent="0.35">
      <c r="A551">
        <v>2019</v>
      </c>
      <c r="B551" t="s">
        <v>51</v>
      </c>
      <c r="C551" t="s">
        <v>22</v>
      </c>
      <c r="D551" s="1">
        <v>5771</v>
      </c>
      <c r="E551" s="1">
        <v>44543</v>
      </c>
      <c r="F551" s="2">
        <v>50925</v>
      </c>
    </row>
    <row r="552" spans="1:6" x14ac:dyDescent="0.35">
      <c r="A552">
        <v>2019</v>
      </c>
      <c r="B552" t="s">
        <v>51</v>
      </c>
      <c r="C552" t="s">
        <v>23</v>
      </c>
      <c r="D552" s="1">
        <v>15133</v>
      </c>
      <c r="E552" s="1">
        <v>126641</v>
      </c>
      <c r="F552" s="2">
        <v>61762</v>
      </c>
    </row>
    <row r="553" spans="1:6" x14ac:dyDescent="0.35">
      <c r="A553">
        <v>2019</v>
      </c>
      <c r="B553" t="s">
        <v>51</v>
      </c>
      <c r="C553" t="s">
        <v>24</v>
      </c>
      <c r="D553" s="1">
        <v>6432</v>
      </c>
      <c r="E553" s="1">
        <v>29914</v>
      </c>
      <c r="F553" s="2">
        <v>53962</v>
      </c>
    </row>
    <row r="554" spans="1:6" x14ac:dyDescent="0.35">
      <c r="A554">
        <v>2019</v>
      </c>
      <c r="B554" t="s">
        <v>51</v>
      </c>
      <c r="C554" t="s">
        <v>25</v>
      </c>
      <c r="D554" s="1">
        <v>7038</v>
      </c>
      <c r="E554" s="1">
        <v>53732</v>
      </c>
      <c r="F554" s="2">
        <v>53794</v>
      </c>
    </row>
    <row r="555" spans="1:6" x14ac:dyDescent="0.35">
      <c r="A555">
        <v>2019</v>
      </c>
      <c r="B555" t="s">
        <v>51</v>
      </c>
      <c r="C555" t="s">
        <v>26</v>
      </c>
      <c r="D555" s="1">
        <v>5852</v>
      </c>
      <c r="E555" s="1">
        <v>95939</v>
      </c>
      <c r="F555" s="2">
        <v>64365</v>
      </c>
    </row>
    <row r="556" spans="1:6" x14ac:dyDescent="0.35">
      <c r="A556">
        <v>2019</v>
      </c>
      <c r="B556" t="s">
        <v>51</v>
      </c>
      <c r="C556" t="s">
        <v>27</v>
      </c>
      <c r="D556" s="1">
        <v>4692</v>
      </c>
      <c r="E556" s="1">
        <v>27825</v>
      </c>
      <c r="F556" s="2">
        <v>64868</v>
      </c>
    </row>
    <row r="557" spans="1:6" x14ac:dyDescent="0.35">
      <c r="A557">
        <v>2019</v>
      </c>
      <c r="B557" t="s">
        <v>51</v>
      </c>
      <c r="C557" t="s">
        <v>28</v>
      </c>
      <c r="D557" s="1">
        <v>22556</v>
      </c>
      <c r="E557" s="1">
        <v>159462</v>
      </c>
      <c r="F557" s="2">
        <v>74644</v>
      </c>
    </row>
    <row r="558" spans="1:6" x14ac:dyDescent="0.35">
      <c r="A558">
        <v>2019</v>
      </c>
      <c r="B558" t="s">
        <v>51</v>
      </c>
      <c r="C558" t="s">
        <v>29</v>
      </c>
      <c r="D558" s="1">
        <v>5571</v>
      </c>
      <c r="E558" s="1">
        <v>50153</v>
      </c>
      <c r="F558" s="2">
        <v>52091</v>
      </c>
    </row>
    <row r="559" spans="1:6" x14ac:dyDescent="0.35">
      <c r="A559">
        <v>2019</v>
      </c>
      <c r="B559" t="s">
        <v>51</v>
      </c>
      <c r="C559" t="s">
        <v>30</v>
      </c>
      <c r="D559" s="1">
        <v>50432</v>
      </c>
      <c r="E559" s="1">
        <v>405650</v>
      </c>
      <c r="F559" s="2">
        <v>75570</v>
      </c>
    </row>
    <row r="560" spans="1:6" x14ac:dyDescent="0.35">
      <c r="A560">
        <v>2019</v>
      </c>
      <c r="B560" t="s">
        <v>51</v>
      </c>
      <c r="C560" t="s">
        <v>31</v>
      </c>
      <c r="D560" s="1">
        <v>27974</v>
      </c>
      <c r="E560" s="1">
        <v>231739</v>
      </c>
      <c r="F560" s="2">
        <v>56974</v>
      </c>
    </row>
    <row r="561" spans="1:6" x14ac:dyDescent="0.35">
      <c r="A561">
        <v>2019</v>
      </c>
      <c r="B561" t="s">
        <v>51</v>
      </c>
      <c r="C561" t="s">
        <v>32</v>
      </c>
      <c r="D561" s="1">
        <v>3692</v>
      </c>
      <c r="E561" s="1">
        <v>27961</v>
      </c>
      <c r="F561" s="2">
        <v>68153</v>
      </c>
    </row>
    <row r="562" spans="1:6" x14ac:dyDescent="0.35">
      <c r="A562">
        <v>2019</v>
      </c>
      <c r="B562" t="s">
        <v>51</v>
      </c>
      <c r="C562" t="s">
        <v>33</v>
      </c>
      <c r="D562" s="1">
        <v>23405</v>
      </c>
      <c r="E562" s="1">
        <v>226563</v>
      </c>
      <c r="F562" s="2">
        <v>62383</v>
      </c>
    </row>
    <row r="563" spans="1:6" x14ac:dyDescent="0.35">
      <c r="A563">
        <v>2019</v>
      </c>
      <c r="B563" t="s">
        <v>51</v>
      </c>
      <c r="C563" t="s">
        <v>34</v>
      </c>
      <c r="D563" s="1">
        <v>9801</v>
      </c>
      <c r="E563" s="1">
        <v>82834</v>
      </c>
      <c r="F563" s="2">
        <v>54435</v>
      </c>
    </row>
    <row r="564" spans="1:6" x14ac:dyDescent="0.35">
      <c r="A564">
        <v>2019</v>
      </c>
      <c r="B564" t="s">
        <v>51</v>
      </c>
      <c r="C564" t="s">
        <v>35</v>
      </c>
      <c r="D564" s="1">
        <v>14626</v>
      </c>
      <c r="E564" s="1">
        <v>108871</v>
      </c>
      <c r="F564" s="2">
        <v>63148</v>
      </c>
    </row>
    <row r="565" spans="1:6" x14ac:dyDescent="0.35">
      <c r="A565">
        <v>2019</v>
      </c>
      <c r="B565" t="s">
        <v>51</v>
      </c>
      <c r="C565" t="s">
        <v>36</v>
      </c>
      <c r="D565" s="1">
        <v>29139</v>
      </c>
      <c r="E565" s="1">
        <v>260895</v>
      </c>
      <c r="F565" s="2">
        <v>68612</v>
      </c>
    </row>
    <row r="566" spans="1:6" x14ac:dyDescent="0.35">
      <c r="A566">
        <v>2019</v>
      </c>
      <c r="B566" t="s">
        <v>51</v>
      </c>
      <c r="C566" t="s">
        <v>37</v>
      </c>
      <c r="D566" s="1">
        <v>3833</v>
      </c>
      <c r="E566" s="1">
        <v>19980</v>
      </c>
      <c r="F566" s="2">
        <v>63414</v>
      </c>
    </row>
    <row r="567" spans="1:6" x14ac:dyDescent="0.35">
      <c r="A567">
        <v>2019</v>
      </c>
      <c r="B567" t="s">
        <v>51</v>
      </c>
      <c r="C567" t="s">
        <v>38</v>
      </c>
      <c r="D567" s="1">
        <v>12956</v>
      </c>
      <c r="E567" s="1">
        <v>107028</v>
      </c>
      <c r="F567" s="2">
        <v>55230</v>
      </c>
    </row>
    <row r="568" spans="1:6" x14ac:dyDescent="0.35">
      <c r="A568">
        <v>2019</v>
      </c>
      <c r="B568" t="s">
        <v>51</v>
      </c>
      <c r="C568" t="s">
        <v>39</v>
      </c>
      <c r="D568" s="1">
        <v>3897</v>
      </c>
      <c r="E568" s="1">
        <v>23609</v>
      </c>
      <c r="F568" s="2">
        <v>50997</v>
      </c>
    </row>
    <row r="569" spans="1:6" x14ac:dyDescent="0.35">
      <c r="A569">
        <v>2019</v>
      </c>
      <c r="B569" t="s">
        <v>51</v>
      </c>
      <c r="C569" t="s">
        <v>40</v>
      </c>
      <c r="D569" s="1">
        <v>12487</v>
      </c>
      <c r="E569" s="1">
        <v>130126</v>
      </c>
      <c r="F569" s="2">
        <v>58777</v>
      </c>
    </row>
    <row r="570" spans="1:6" x14ac:dyDescent="0.35">
      <c r="A570">
        <v>2019</v>
      </c>
      <c r="B570" t="s">
        <v>51</v>
      </c>
      <c r="C570" t="s">
        <v>41</v>
      </c>
      <c r="D570" s="1">
        <v>53248</v>
      </c>
      <c r="E570" s="1">
        <v>774190</v>
      </c>
      <c r="F570" s="2">
        <v>67564</v>
      </c>
    </row>
    <row r="571" spans="1:6" x14ac:dyDescent="0.35">
      <c r="A571">
        <v>2019</v>
      </c>
      <c r="B571" t="s">
        <v>51</v>
      </c>
      <c r="C571" t="s">
        <v>42</v>
      </c>
      <c r="D571" s="1">
        <v>12212</v>
      </c>
      <c r="E571" s="1">
        <v>109486</v>
      </c>
      <c r="F571" s="2">
        <v>53428</v>
      </c>
    </row>
    <row r="572" spans="1:6" x14ac:dyDescent="0.35">
      <c r="A572">
        <v>2019</v>
      </c>
      <c r="B572" t="s">
        <v>51</v>
      </c>
      <c r="C572" t="s">
        <v>43</v>
      </c>
      <c r="D572" s="1">
        <v>2846</v>
      </c>
      <c r="E572" s="1">
        <v>15283</v>
      </c>
      <c r="F572" s="2">
        <v>52585</v>
      </c>
    </row>
    <row r="573" spans="1:6" x14ac:dyDescent="0.35">
      <c r="A573">
        <v>2019</v>
      </c>
      <c r="B573" t="s">
        <v>51</v>
      </c>
      <c r="C573" t="s">
        <v>44</v>
      </c>
      <c r="D573" s="1">
        <v>21468</v>
      </c>
      <c r="E573" s="1">
        <v>202134</v>
      </c>
      <c r="F573" s="2">
        <v>60504</v>
      </c>
    </row>
    <row r="574" spans="1:6" x14ac:dyDescent="0.35">
      <c r="A574">
        <v>2019</v>
      </c>
      <c r="B574" t="s">
        <v>51</v>
      </c>
      <c r="C574" t="s">
        <v>45</v>
      </c>
      <c r="D574" s="1">
        <v>26472</v>
      </c>
      <c r="E574" s="1">
        <v>205717</v>
      </c>
      <c r="F574" s="2">
        <v>67833</v>
      </c>
    </row>
    <row r="575" spans="1:6" x14ac:dyDescent="0.35">
      <c r="A575">
        <v>2019</v>
      </c>
      <c r="B575" t="s">
        <v>51</v>
      </c>
      <c r="C575" t="s">
        <v>46</v>
      </c>
      <c r="D575" s="1">
        <v>4338</v>
      </c>
      <c r="E575" s="1">
        <v>35459</v>
      </c>
      <c r="F575" s="2">
        <v>64460</v>
      </c>
    </row>
    <row r="576" spans="1:6" x14ac:dyDescent="0.35">
      <c r="A576">
        <v>2019</v>
      </c>
      <c r="B576" t="s">
        <v>51</v>
      </c>
      <c r="C576" t="s">
        <v>47</v>
      </c>
      <c r="D576" s="1">
        <v>14823</v>
      </c>
      <c r="E576" s="1">
        <v>124384</v>
      </c>
      <c r="F576" s="2">
        <v>63874</v>
      </c>
    </row>
    <row r="577" spans="1:6" x14ac:dyDescent="0.35">
      <c r="A577">
        <v>2019</v>
      </c>
      <c r="B577" t="s">
        <v>51</v>
      </c>
      <c r="C577" t="s">
        <v>48</v>
      </c>
      <c r="D577" s="1">
        <v>3427</v>
      </c>
      <c r="E577" s="1">
        <v>22875</v>
      </c>
      <c r="F577" s="2">
        <v>57417</v>
      </c>
    </row>
    <row r="578" spans="1:6" x14ac:dyDescent="0.35">
      <c r="A578">
        <v>2019</v>
      </c>
      <c r="B578" t="s">
        <v>52</v>
      </c>
      <c r="C578" t="s">
        <v>1</v>
      </c>
      <c r="D578" s="1">
        <v>5677</v>
      </c>
      <c r="E578" s="1">
        <v>268948</v>
      </c>
      <c r="F578" s="2">
        <v>58532</v>
      </c>
    </row>
    <row r="579" spans="1:6" x14ac:dyDescent="0.35">
      <c r="A579">
        <v>2019</v>
      </c>
      <c r="B579" t="s">
        <v>52</v>
      </c>
      <c r="C579" t="s">
        <v>2</v>
      </c>
      <c r="D579" s="1">
        <v>5157</v>
      </c>
      <c r="E579" s="1">
        <v>177610</v>
      </c>
      <c r="F579" s="2">
        <v>78966</v>
      </c>
    </row>
    <row r="580" spans="1:6" x14ac:dyDescent="0.35">
      <c r="A580">
        <v>2019</v>
      </c>
      <c r="B580" t="s">
        <v>52</v>
      </c>
      <c r="C580" t="s">
        <v>3</v>
      </c>
      <c r="D580" s="1">
        <v>2930</v>
      </c>
      <c r="E580" s="1">
        <v>162214</v>
      </c>
      <c r="F580" s="2">
        <v>49202</v>
      </c>
    </row>
    <row r="581" spans="1:6" x14ac:dyDescent="0.35">
      <c r="A581">
        <v>2019</v>
      </c>
      <c r="B581" t="s">
        <v>52</v>
      </c>
      <c r="C581" t="s">
        <v>4</v>
      </c>
      <c r="D581" s="1">
        <v>44539</v>
      </c>
      <c r="E581" s="1">
        <v>1322455</v>
      </c>
      <c r="F581" s="2">
        <v>98222</v>
      </c>
    </row>
    <row r="582" spans="1:6" x14ac:dyDescent="0.35">
      <c r="A582">
        <v>2019</v>
      </c>
      <c r="B582" t="s">
        <v>52</v>
      </c>
      <c r="C582" t="s">
        <v>5</v>
      </c>
      <c r="D582" s="1">
        <v>5849</v>
      </c>
      <c r="E582" s="1">
        <v>150109</v>
      </c>
      <c r="F582" s="2">
        <v>73935</v>
      </c>
    </row>
    <row r="583" spans="1:6" x14ac:dyDescent="0.35">
      <c r="A583">
        <v>2019</v>
      </c>
      <c r="B583" t="s">
        <v>52</v>
      </c>
      <c r="C583" t="s">
        <v>6</v>
      </c>
      <c r="D583" s="1">
        <v>4405</v>
      </c>
      <c r="E583" s="1">
        <v>161899</v>
      </c>
      <c r="F583" s="2">
        <v>85024</v>
      </c>
    </row>
    <row r="584" spans="1:6" x14ac:dyDescent="0.35">
      <c r="A584">
        <v>2019</v>
      </c>
      <c r="B584" t="s">
        <v>52</v>
      </c>
      <c r="C584" t="s">
        <v>7</v>
      </c>
      <c r="D584">
        <v>663</v>
      </c>
      <c r="E584" s="1">
        <v>27298</v>
      </c>
      <c r="F584" s="2">
        <v>66194</v>
      </c>
    </row>
    <row r="585" spans="1:6" x14ac:dyDescent="0.35">
      <c r="A585">
        <v>2019</v>
      </c>
      <c r="B585" t="s">
        <v>52</v>
      </c>
      <c r="C585" t="s">
        <v>8</v>
      </c>
      <c r="D585" s="1">
        <v>20799</v>
      </c>
      <c r="E585" s="1">
        <v>383956</v>
      </c>
      <c r="F585" s="2">
        <v>63877</v>
      </c>
    </row>
    <row r="586" spans="1:6" x14ac:dyDescent="0.35">
      <c r="A586">
        <v>2019</v>
      </c>
      <c r="B586" t="s">
        <v>52</v>
      </c>
      <c r="C586" t="s">
        <v>9</v>
      </c>
      <c r="D586" s="1">
        <v>10066</v>
      </c>
      <c r="E586" s="1">
        <v>404085</v>
      </c>
      <c r="F586" s="2">
        <v>58246</v>
      </c>
    </row>
    <row r="587" spans="1:6" x14ac:dyDescent="0.35">
      <c r="A587">
        <v>2019</v>
      </c>
      <c r="B587" t="s">
        <v>52</v>
      </c>
      <c r="C587" t="s">
        <v>10</v>
      </c>
      <c r="D587" s="1">
        <v>2680</v>
      </c>
      <c r="E587" s="1">
        <v>68404</v>
      </c>
      <c r="F587" s="2">
        <v>62480</v>
      </c>
    </row>
    <row r="588" spans="1:6" x14ac:dyDescent="0.35">
      <c r="A588">
        <v>2019</v>
      </c>
      <c r="B588" t="s">
        <v>52</v>
      </c>
      <c r="C588" t="s">
        <v>11</v>
      </c>
      <c r="D588" s="1">
        <v>18066</v>
      </c>
      <c r="E588" s="1">
        <v>585894</v>
      </c>
      <c r="F588" s="2">
        <v>72819</v>
      </c>
    </row>
    <row r="589" spans="1:6" x14ac:dyDescent="0.35">
      <c r="A589">
        <v>2019</v>
      </c>
      <c r="B589" t="s">
        <v>52</v>
      </c>
      <c r="C589" t="s">
        <v>12</v>
      </c>
      <c r="D589" s="1">
        <v>9083</v>
      </c>
      <c r="E589" s="1">
        <v>541099</v>
      </c>
      <c r="F589" s="2">
        <v>63320</v>
      </c>
    </row>
    <row r="590" spans="1:6" x14ac:dyDescent="0.35">
      <c r="A590">
        <v>2019</v>
      </c>
      <c r="B590" t="s">
        <v>52</v>
      </c>
      <c r="C590" t="s">
        <v>13</v>
      </c>
      <c r="D590" s="1">
        <v>4132</v>
      </c>
      <c r="E590" s="1">
        <v>226152</v>
      </c>
      <c r="F590" s="2">
        <v>60185</v>
      </c>
    </row>
    <row r="591" spans="1:6" x14ac:dyDescent="0.35">
      <c r="A591">
        <v>2019</v>
      </c>
      <c r="B591" t="s">
        <v>52</v>
      </c>
      <c r="C591" t="s">
        <v>14</v>
      </c>
      <c r="D591" s="1">
        <v>3105</v>
      </c>
      <c r="E591" s="1">
        <v>167196</v>
      </c>
      <c r="F591" s="2">
        <v>59652</v>
      </c>
    </row>
    <row r="592" spans="1:6" x14ac:dyDescent="0.35">
      <c r="A592">
        <v>2019</v>
      </c>
      <c r="B592" t="s">
        <v>52</v>
      </c>
      <c r="C592" t="s">
        <v>15</v>
      </c>
      <c r="D592" s="1">
        <v>4583</v>
      </c>
      <c r="E592" s="1">
        <v>252626</v>
      </c>
      <c r="F592" s="2">
        <v>61167</v>
      </c>
    </row>
    <row r="593" spans="1:6" x14ac:dyDescent="0.35">
      <c r="A593">
        <v>2019</v>
      </c>
      <c r="B593" t="s">
        <v>52</v>
      </c>
      <c r="C593" t="s">
        <v>16</v>
      </c>
      <c r="D593" s="1">
        <v>4453</v>
      </c>
      <c r="E593" s="1">
        <v>137729</v>
      </c>
      <c r="F593" s="2">
        <v>77600</v>
      </c>
    </row>
    <row r="594" spans="1:6" x14ac:dyDescent="0.35">
      <c r="A594">
        <v>2019</v>
      </c>
      <c r="B594" t="s">
        <v>52</v>
      </c>
      <c r="C594" t="s">
        <v>17</v>
      </c>
      <c r="D594" s="1">
        <v>1870</v>
      </c>
      <c r="E594" s="1">
        <v>53047</v>
      </c>
      <c r="F594" s="2">
        <v>57227</v>
      </c>
    </row>
    <row r="595" spans="1:6" x14ac:dyDescent="0.35">
      <c r="A595">
        <v>2019</v>
      </c>
      <c r="B595" t="s">
        <v>52</v>
      </c>
      <c r="C595" t="s">
        <v>18</v>
      </c>
      <c r="D595" s="1">
        <v>4145</v>
      </c>
      <c r="E595" s="1">
        <v>112273</v>
      </c>
      <c r="F595" s="2">
        <v>79016</v>
      </c>
    </row>
    <row r="596" spans="1:6" x14ac:dyDescent="0.35">
      <c r="A596">
        <v>2019</v>
      </c>
      <c r="B596" t="s">
        <v>52</v>
      </c>
      <c r="C596" t="s">
        <v>19</v>
      </c>
      <c r="D596" s="1">
        <v>6682</v>
      </c>
      <c r="E596" s="1">
        <v>244258</v>
      </c>
      <c r="F596" s="2">
        <v>89698</v>
      </c>
    </row>
    <row r="597" spans="1:6" x14ac:dyDescent="0.35">
      <c r="A597">
        <v>2019</v>
      </c>
      <c r="B597" t="s">
        <v>52</v>
      </c>
      <c r="C597" t="s">
        <v>20</v>
      </c>
      <c r="D597" s="1">
        <v>16948</v>
      </c>
      <c r="E597" s="1">
        <v>625676</v>
      </c>
      <c r="F597" s="2">
        <v>68465</v>
      </c>
    </row>
    <row r="598" spans="1:6" x14ac:dyDescent="0.35">
      <c r="A598">
        <v>2019</v>
      </c>
      <c r="B598" t="s">
        <v>52</v>
      </c>
      <c r="C598" t="s">
        <v>21</v>
      </c>
      <c r="D598" s="1">
        <v>8265</v>
      </c>
      <c r="E598" s="1">
        <v>324018</v>
      </c>
      <c r="F598" s="2">
        <v>68082</v>
      </c>
    </row>
    <row r="599" spans="1:6" x14ac:dyDescent="0.35">
      <c r="A599">
        <v>2019</v>
      </c>
      <c r="B599" t="s">
        <v>52</v>
      </c>
      <c r="C599" t="s">
        <v>22</v>
      </c>
      <c r="D599" s="1">
        <v>2396</v>
      </c>
      <c r="E599" s="1">
        <v>146775</v>
      </c>
      <c r="F599" s="2">
        <v>50065</v>
      </c>
    </row>
    <row r="600" spans="1:6" x14ac:dyDescent="0.35">
      <c r="A600">
        <v>2019</v>
      </c>
      <c r="B600" t="s">
        <v>52</v>
      </c>
      <c r="C600" t="s">
        <v>23</v>
      </c>
      <c r="D600" s="1">
        <v>6681</v>
      </c>
      <c r="E600" s="1">
        <v>277104</v>
      </c>
      <c r="F600" s="2">
        <v>59758</v>
      </c>
    </row>
    <row r="601" spans="1:6" x14ac:dyDescent="0.35">
      <c r="A601">
        <v>2019</v>
      </c>
      <c r="B601" t="s">
        <v>52</v>
      </c>
      <c r="C601" t="s">
        <v>24</v>
      </c>
      <c r="D601" s="1">
        <v>1625</v>
      </c>
      <c r="E601" s="1">
        <v>20972</v>
      </c>
      <c r="F601" s="2">
        <v>51666</v>
      </c>
    </row>
    <row r="602" spans="1:6" x14ac:dyDescent="0.35">
      <c r="A602">
        <v>2019</v>
      </c>
      <c r="B602" t="s">
        <v>52</v>
      </c>
      <c r="C602" t="s">
        <v>25</v>
      </c>
      <c r="D602" s="1">
        <v>1974</v>
      </c>
      <c r="E602" s="1">
        <v>99914</v>
      </c>
      <c r="F602" s="2">
        <v>52716</v>
      </c>
    </row>
    <row r="603" spans="1:6" x14ac:dyDescent="0.35">
      <c r="A603">
        <v>2019</v>
      </c>
      <c r="B603" t="s">
        <v>52</v>
      </c>
      <c r="C603" t="s">
        <v>26</v>
      </c>
      <c r="D603" s="1">
        <v>2069</v>
      </c>
      <c r="E603" s="1">
        <v>59279</v>
      </c>
      <c r="F603" s="2">
        <v>59498</v>
      </c>
    </row>
    <row r="604" spans="1:6" x14ac:dyDescent="0.35">
      <c r="A604">
        <v>2019</v>
      </c>
      <c r="B604" t="s">
        <v>52</v>
      </c>
      <c r="C604" t="s">
        <v>27</v>
      </c>
      <c r="D604" s="1">
        <v>2012</v>
      </c>
      <c r="E604" s="1">
        <v>71459</v>
      </c>
      <c r="F604" s="2">
        <v>73007</v>
      </c>
    </row>
    <row r="605" spans="1:6" x14ac:dyDescent="0.35">
      <c r="A605">
        <v>2019</v>
      </c>
      <c r="B605" t="s">
        <v>52</v>
      </c>
      <c r="C605" t="s">
        <v>28</v>
      </c>
      <c r="D605" s="1">
        <v>8994</v>
      </c>
      <c r="E605" s="1">
        <v>249464</v>
      </c>
      <c r="F605" s="2">
        <v>81649</v>
      </c>
    </row>
    <row r="606" spans="1:6" x14ac:dyDescent="0.35">
      <c r="A606">
        <v>2019</v>
      </c>
      <c r="B606" t="s">
        <v>52</v>
      </c>
      <c r="C606" t="s">
        <v>29</v>
      </c>
      <c r="D606" s="1">
        <v>1810</v>
      </c>
      <c r="E606" s="1">
        <v>28514</v>
      </c>
      <c r="F606" s="2">
        <v>55737</v>
      </c>
    </row>
    <row r="607" spans="1:6" x14ac:dyDescent="0.35">
      <c r="A607">
        <v>2019</v>
      </c>
      <c r="B607" t="s">
        <v>52</v>
      </c>
      <c r="C607" t="s">
        <v>30</v>
      </c>
      <c r="D607" s="1">
        <v>16457</v>
      </c>
      <c r="E607" s="1">
        <v>437040</v>
      </c>
      <c r="F607" s="2">
        <v>69154</v>
      </c>
    </row>
    <row r="608" spans="1:6" x14ac:dyDescent="0.35">
      <c r="A608">
        <v>2019</v>
      </c>
      <c r="B608" t="s">
        <v>52</v>
      </c>
      <c r="C608" t="s">
        <v>31</v>
      </c>
      <c r="D608" s="1">
        <v>10247</v>
      </c>
      <c r="E608" s="1">
        <v>477086</v>
      </c>
      <c r="F608" s="2">
        <v>61095</v>
      </c>
    </row>
    <row r="609" spans="1:6" x14ac:dyDescent="0.35">
      <c r="A609">
        <v>2019</v>
      </c>
      <c r="B609" t="s">
        <v>52</v>
      </c>
      <c r="C609" t="s">
        <v>32</v>
      </c>
      <c r="D609">
        <v>808</v>
      </c>
      <c r="E609" s="1">
        <v>26471</v>
      </c>
      <c r="F609" s="2">
        <v>55179</v>
      </c>
    </row>
    <row r="610" spans="1:6" x14ac:dyDescent="0.35">
      <c r="A610">
        <v>2019</v>
      </c>
      <c r="B610" t="s">
        <v>52</v>
      </c>
      <c r="C610" t="s">
        <v>33</v>
      </c>
      <c r="D610" s="1">
        <v>15486</v>
      </c>
      <c r="E610" s="1">
        <v>700786</v>
      </c>
      <c r="F610" s="2">
        <v>62878</v>
      </c>
    </row>
    <row r="611" spans="1:6" x14ac:dyDescent="0.35">
      <c r="A611">
        <v>2019</v>
      </c>
      <c r="B611" t="s">
        <v>52</v>
      </c>
      <c r="C611" t="s">
        <v>34</v>
      </c>
      <c r="D611" s="1">
        <v>4213</v>
      </c>
      <c r="E611" s="1">
        <v>140812</v>
      </c>
      <c r="F611" s="2">
        <v>59951</v>
      </c>
    </row>
    <row r="612" spans="1:6" x14ac:dyDescent="0.35">
      <c r="A612">
        <v>2019</v>
      </c>
      <c r="B612" t="s">
        <v>52</v>
      </c>
      <c r="C612" t="s">
        <v>35</v>
      </c>
      <c r="D612" s="1">
        <v>6396</v>
      </c>
      <c r="E612" s="1">
        <v>197626</v>
      </c>
      <c r="F612" s="2">
        <v>71436</v>
      </c>
    </row>
    <row r="613" spans="1:6" x14ac:dyDescent="0.35">
      <c r="A613">
        <v>2019</v>
      </c>
      <c r="B613" t="s">
        <v>52</v>
      </c>
      <c r="C613" t="s">
        <v>36</v>
      </c>
      <c r="D613" s="1">
        <v>14432</v>
      </c>
      <c r="E613" s="1">
        <v>574751</v>
      </c>
      <c r="F613" s="2">
        <v>64231</v>
      </c>
    </row>
    <row r="614" spans="1:6" x14ac:dyDescent="0.35">
      <c r="A614">
        <v>2019</v>
      </c>
      <c r="B614" t="s">
        <v>52</v>
      </c>
      <c r="C614" t="s">
        <v>37</v>
      </c>
      <c r="D614" s="1">
        <v>1636</v>
      </c>
      <c r="E614" s="1">
        <v>39736</v>
      </c>
      <c r="F614" s="2">
        <v>60286</v>
      </c>
    </row>
    <row r="615" spans="1:6" x14ac:dyDescent="0.35">
      <c r="A615">
        <v>2019</v>
      </c>
      <c r="B615" t="s">
        <v>52</v>
      </c>
      <c r="C615" t="s">
        <v>38</v>
      </c>
      <c r="D615" s="1">
        <v>6414</v>
      </c>
      <c r="E615" s="1">
        <v>258252</v>
      </c>
      <c r="F615" s="2">
        <v>60850</v>
      </c>
    </row>
    <row r="616" spans="1:6" x14ac:dyDescent="0.35">
      <c r="A616">
        <v>2019</v>
      </c>
      <c r="B616" t="s">
        <v>52</v>
      </c>
      <c r="C616" t="s">
        <v>39</v>
      </c>
      <c r="D616" s="1">
        <v>1067</v>
      </c>
      <c r="E616" s="1">
        <v>44972</v>
      </c>
      <c r="F616" s="2">
        <v>50219</v>
      </c>
    </row>
    <row r="617" spans="1:6" x14ac:dyDescent="0.35">
      <c r="A617">
        <v>2019</v>
      </c>
      <c r="B617" t="s">
        <v>52</v>
      </c>
      <c r="C617" t="s">
        <v>40</v>
      </c>
      <c r="D617" s="1">
        <v>7272</v>
      </c>
      <c r="E617" s="1">
        <v>354961</v>
      </c>
      <c r="F617" s="2">
        <v>60305</v>
      </c>
    </row>
    <row r="618" spans="1:6" x14ac:dyDescent="0.35">
      <c r="A618">
        <v>2019</v>
      </c>
      <c r="B618" t="s">
        <v>52</v>
      </c>
      <c r="C618" t="s">
        <v>41</v>
      </c>
      <c r="D618" s="1">
        <v>25577</v>
      </c>
      <c r="E618" s="1">
        <v>905953</v>
      </c>
      <c r="F618" s="2">
        <v>79766</v>
      </c>
    </row>
    <row r="619" spans="1:6" x14ac:dyDescent="0.35">
      <c r="A619">
        <v>2019</v>
      </c>
      <c r="B619" t="s">
        <v>52</v>
      </c>
      <c r="C619" t="s">
        <v>42</v>
      </c>
      <c r="D619" s="1">
        <v>4547</v>
      </c>
      <c r="E619" s="1">
        <v>136085</v>
      </c>
      <c r="F619" s="2">
        <v>59426</v>
      </c>
    </row>
    <row r="620" spans="1:6" x14ac:dyDescent="0.35">
      <c r="A620">
        <v>2019</v>
      </c>
      <c r="B620" t="s">
        <v>52</v>
      </c>
      <c r="C620" t="s">
        <v>43</v>
      </c>
      <c r="D620" s="1">
        <v>1108</v>
      </c>
      <c r="E620" s="1">
        <v>30091</v>
      </c>
      <c r="F620" s="2">
        <v>60807</v>
      </c>
    </row>
    <row r="621" spans="1:6" x14ac:dyDescent="0.35">
      <c r="A621">
        <v>2019</v>
      </c>
      <c r="B621" t="s">
        <v>52</v>
      </c>
      <c r="C621" t="s">
        <v>44</v>
      </c>
      <c r="D621" s="1">
        <v>6864</v>
      </c>
      <c r="E621" s="1">
        <v>242160</v>
      </c>
      <c r="F621" s="2">
        <v>61341</v>
      </c>
    </row>
    <row r="622" spans="1:6" x14ac:dyDescent="0.35">
      <c r="A622">
        <v>2019</v>
      </c>
      <c r="B622" t="s">
        <v>52</v>
      </c>
      <c r="C622" t="s">
        <v>45</v>
      </c>
      <c r="D622" s="1">
        <v>7824</v>
      </c>
      <c r="E622" s="1">
        <v>290326</v>
      </c>
      <c r="F622" s="2">
        <v>81228</v>
      </c>
    </row>
    <row r="623" spans="1:6" x14ac:dyDescent="0.35">
      <c r="A623">
        <v>2019</v>
      </c>
      <c r="B623" t="s">
        <v>52</v>
      </c>
      <c r="C623" t="s">
        <v>46</v>
      </c>
      <c r="D623" s="1">
        <v>1251</v>
      </c>
      <c r="E623" s="1">
        <v>46979</v>
      </c>
      <c r="F623" s="2">
        <v>61074</v>
      </c>
    </row>
    <row r="624" spans="1:6" x14ac:dyDescent="0.35">
      <c r="A624">
        <v>2019</v>
      </c>
      <c r="B624" t="s">
        <v>52</v>
      </c>
      <c r="C624" t="s">
        <v>47</v>
      </c>
      <c r="D624" s="1">
        <v>9333</v>
      </c>
      <c r="E624" s="1">
        <v>483196</v>
      </c>
      <c r="F624" s="2">
        <v>59083</v>
      </c>
    </row>
    <row r="625" spans="1:6" x14ac:dyDescent="0.35">
      <c r="A625">
        <v>2019</v>
      </c>
      <c r="B625" t="s">
        <v>52</v>
      </c>
      <c r="C625" t="s">
        <v>48</v>
      </c>
      <c r="D625">
        <v>615</v>
      </c>
      <c r="E625" s="1">
        <v>10043</v>
      </c>
      <c r="F625" s="2">
        <v>68738</v>
      </c>
    </row>
    <row r="626" spans="1:6" x14ac:dyDescent="0.35">
      <c r="A626">
        <v>2019</v>
      </c>
      <c r="B626" t="s">
        <v>54</v>
      </c>
      <c r="C626" t="s">
        <v>1</v>
      </c>
      <c r="D626" s="1">
        <v>32423</v>
      </c>
      <c r="E626" s="1">
        <v>380193</v>
      </c>
      <c r="F626" s="2">
        <v>43426</v>
      </c>
    </row>
    <row r="627" spans="1:6" x14ac:dyDescent="0.35">
      <c r="A627">
        <v>2019</v>
      </c>
      <c r="B627" t="s">
        <v>54</v>
      </c>
      <c r="C627" t="s">
        <v>2</v>
      </c>
      <c r="D627" s="1">
        <v>33190</v>
      </c>
      <c r="E627" s="1">
        <v>541793</v>
      </c>
      <c r="F627" s="2">
        <v>48023</v>
      </c>
    </row>
    <row r="628" spans="1:6" x14ac:dyDescent="0.35">
      <c r="A628">
        <v>2019</v>
      </c>
      <c r="B628" t="s">
        <v>54</v>
      </c>
      <c r="C628" t="s">
        <v>3</v>
      </c>
      <c r="D628" s="1">
        <v>21821</v>
      </c>
      <c r="E628" s="1">
        <v>248631</v>
      </c>
      <c r="F628" s="2">
        <v>42897</v>
      </c>
    </row>
    <row r="629" spans="1:6" x14ac:dyDescent="0.35">
      <c r="A629">
        <v>2019</v>
      </c>
      <c r="B629" t="s">
        <v>54</v>
      </c>
      <c r="C629" t="s">
        <v>4</v>
      </c>
      <c r="D629" s="1">
        <v>198955</v>
      </c>
      <c r="E629" s="1">
        <v>3042089</v>
      </c>
      <c r="F629" s="2">
        <v>54908</v>
      </c>
    </row>
    <row r="630" spans="1:6" x14ac:dyDescent="0.35">
      <c r="A630">
        <v>2019</v>
      </c>
      <c r="B630" t="s">
        <v>54</v>
      </c>
      <c r="C630" t="s">
        <v>5</v>
      </c>
      <c r="D630" s="1">
        <v>36041</v>
      </c>
      <c r="E630" s="1">
        <v>474011</v>
      </c>
      <c r="F630" s="2">
        <v>52675</v>
      </c>
    </row>
    <row r="631" spans="1:6" x14ac:dyDescent="0.35">
      <c r="A631">
        <v>2019</v>
      </c>
      <c r="B631" t="s">
        <v>54</v>
      </c>
      <c r="C631" t="s">
        <v>6</v>
      </c>
      <c r="D631" s="1">
        <v>24868</v>
      </c>
      <c r="E631" s="1">
        <v>291966</v>
      </c>
      <c r="F631" s="2">
        <v>52540</v>
      </c>
    </row>
    <row r="632" spans="1:6" x14ac:dyDescent="0.35">
      <c r="A632">
        <v>2019</v>
      </c>
      <c r="B632" t="s">
        <v>54</v>
      </c>
      <c r="C632" t="s">
        <v>7</v>
      </c>
      <c r="D632" s="1">
        <v>7005</v>
      </c>
      <c r="E632" s="1">
        <v>79487</v>
      </c>
      <c r="F632" s="2">
        <v>42440</v>
      </c>
    </row>
    <row r="633" spans="1:6" x14ac:dyDescent="0.35">
      <c r="A633">
        <v>2019</v>
      </c>
      <c r="B633" t="s">
        <v>54</v>
      </c>
      <c r="C633" t="s">
        <v>8</v>
      </c>
      <c r="D633" s="1">
        <v>140278</v>
      </c>
      <c r="E633" s="1">
        <v>1799930</v>
      </c>
      <c r="F633" s="2">
        <v>46232</v>
      </c>
    </row>
    <row r="634" spans="1:6" x14ac:dyDescent="0.35">
      <c r="A634">
        <v>2019</v>
      </c>
      <c r="B634" t="s">
        <v>54</v>
      </c>
      <c r="C634" t="s">
        <v>9</v>
      </c>
      <c r="D634" s="1">
        <v>61774</v>
      </c>
      <c r="E634" s="1">
        <v>938063</v>
      </c>
      <c r="F634" s="2">
        <v>49817</v>
      </c>
    </row>
    <row r="635" spans="1:6" x14ac:dyDescent="0.35">
      <c r="A635">
        <v>2019</v>
      </c>
      <c r="B635" t="s">
        <v>54</v>
      </c>
      <c r="C635" t="s">
        <v>10</v>
      </c>
      <c r="D635" s="1">
        <v>11892</v>
      </c>
      <c r="E635" s="1">
        <v>142186</v>
      </c>
      <c r="F635" s="2">
        <v>41533</v>
      </c>
    </row>
    <row r="636" spans="1:6" x14ac:dyDescent="0.35">
      <c r="A636">
        <v>2019</v>
      </c>
      <c r="B636" t="s">
        <v>54</v>
      </c>
      <c r="C636" t="s">
        <v>11</v>
      </c>
      <c r="D636" s="1">
        <v>78822</v>
      </c>
      <c r="E636" s="1">
        <v>1187941</v>
      </c>
      <c r="F636" s="2">
        <v>53573</v>
      </c>
    </row>
    <row r="637" spans="1:6" x14ac:dyDescent="0.35">
      <c r="A637">
        <v>2019</v>
      </c>
      <c r="B637" t="s">
        <v>54</v>
      </c>
      <c r="C637" t="s">
        <v>12</v>
      </c>
      <c r="D637" s="1">
        <v>40283</v>
      </c>
      <c r="E637" s="1">
        <v>594348</v>
      </c>
      <c r="F637" s="2">
        <v>43345</v>
      </c>
    </row>
    <row r="638" spans="1:6" x14ac:dyDescent="0.35">
      <c r="A638">
        <v>2019</v>
      </c>
      <c r="B638" t="s">
        <v>54</v>
      </c>
      <c r="C638" t="s">
        <v>13</v>
      </c>
      <c r="D638" s="1">
        <v>23557</v>
      </c>
      <c r="E638" s="1">
        <v>307822</v>
      </c>
      <c r="F638" s="2">
        <v>41407</v>
      </c>
    </row>
    <row r="639" spans="1:6" x14ac:dyDescent="0.35">
      <c r="A639">
        <v>2019</v>
      </c>
      <c r="B639" t="s">
        <v>54</v>
      </c>
      <c r="C639" t="s">
        <v>14</v>
      </c>
      <c r="D639" s="1">
        <v>19844</v>
      </c>
      <c r="E639" s="1">
        <v>262383</v>
      </c>
      <c r="F639" s="2">
        <v>43539</v>
      </c>
    </row>
    <row r="640" spans="1:6" x14ac:dyDescent="0.35">
      <c r="A640">
        <v>2019</v>
      </c>
      <c r="B640" t="s">
        <v>54</v>
      </c>
      <c r="C640" t="s">
        <v>15</v>
      </c>
      <c r="D640" s="1">
        <v>27892</v>
      </c>
      <c r="E640" s="1">
        <v>401804</v>
      </c>
      <c r="F640" s="2">
        <v>44163</v>
      </c>
    </row>
    <row r="641" spans="1:6" x14ac:dyDescent="0.35">
      <c r="A641">
        <v>2019</v>
      </c>
      <c r="B641" t="s">
        <v>54</v>
      </c>
      <c r="C641" t="s">
        <v>16</v>
      </c>
      <c r="D641" s="1">
        <v>30876</v>
      </c>
      <c r="E641" s="1">
        <v>376026</v>
      </c>
      <c r="F641" s="2">
        <v>43579</v>
      </c>
    </row>
    <row r="642" spans="1:6" x14ac:dyDescent="0.35">
      <c r="A642">
        <v>2019</v>
      </c>
      <c r="B642" t="s">
        <v>54</v>
      </c>
      <c r="C642" t="s">
        <v>17</v>
      </c>
      <c r="D642" s="1">
        <v>10676</v>
      </c>
      <c r="E642" s="1">
        <v>117746</v>
      </c>
      <c r="F642" s="2">
        <v>39115</v>
      </c>
    </row>
    <row r="643" spans="1:6" x14ac:dyDescent="0.35">
      <c r="A643">
        <v>2019</v>
      </c>
      <c r="B643" t="s">
        <v>54</v>
      </c>
      <c r="C643" t="s">
        <v>18</v>
      </c>
      <c r="D643" s="1">
        <v>32640</v>
      </c>
      <c r="E643" s="1">
        <v>463647</v>
      </c>
      <c r="F643" s="2">
        <v>47503</v>
      </c>
    </row>
    <row r="644" spans="1:6" x14ac:dyDescent="0.35">
      <c r="A644">
        <v>2019</v>
      </c>
      <c r="B644" t="s">
        <v>54</v>
      </c>
      <c r="C644" t="s">
        <v>19</v>
      </c>
      <c r="D644" s="1">
        <v>41620</v>
      </c>
      <c r="E644" s="1">
        <v>577282</v>
      </c>
      <c r="F644" s="2">
        <v>55423</v>
      </c>
    </row>
    <row r="645" spans="1:6" x14ac:dyDescent="0.35">
      <c r="A645">
        <v>2019</v>
      </c>
      <c r="B645" t="s">
        <v>54</v>
      </c>
      <c r="C645" t="s">
        <v>20</v>
      </c>
      <c r="D645" s="1">
        <v>55150</v>
      </c>
      <c r="E645" s="1">
        <v>791177</v>
      </c>
      <c r="F645" s="2">
        <v>48357</v>
      </c>
    </row>
    <row r="646" spans="1:6" x14ac:dyDescent="0.35">
      <c r="A646">
        <v>2019</v>
      </c>
      <c r="B646" t="s">
        <v>54</v>
      </c>
      <c r="C646" t="s">
        <v>21</v>
      </c>
      <c r="D646" s="1">
        <v>37323</v>
      </c>
      <c r="E646" s="1">
        <v>525857</v>
      </c>
      <c r="F646" s="2">
        <v>50523</v>
      </c>
    </row>
    <row r="647" spans="1:6" x14ac:dyDescent="0.35">
      <c r="A647">
        <v>2019</v>
      </c>
      <c r="B647" t="s">
        <v>54</v>
      </c>
      <c r="C647" t="s">
        <v>22</v>
      </c>
      <c r="D647" s="1">
        <v>19568</v>
      </c>
      <c r="E647" s="1">
        <v>229039</v>
      </c>
      <c r="F647" s="2">
        <v>37621</v>
      </c>
    </row>
    <row r="648" spans="1:6" x14ac:dyDescent="0.35">
      <c r="A648">
        <v>2019</v>
      </c>
      <c r="B648" t="s">
        <v>54</v>
      </c>
      <c r="C648" t="s">
        <v>23</v>
      </c>
      <c r="D648" s="1">
        <v>39400</v>
      </c>
      <c r="E648" s="1">
        <v>536753</v>
      </c>
      <c r="F648" s="2">
        <v>43646</v>
      </c>
    </row>
    <row r="649" spans="1:6" x14ac:dyDescent="0.35">
      <c r="A649">
        <v>2019</v>
      </c>
      <c r="B649" t="s">
        <v>54</v>
      </c>
      <c r="C649" t="s">
        <v>24</v>
      </c>
      <c r="D649" s="1">
        <v>9112</v>
      </c>
      <c r="E649" s="1">
        <v>90946</v>
      </c>
      <c r="F649" s="2">
        <v>40937</v>
      </c>
    </row>
    <row r="650" spans="1:6" x14ac:dyDescent="0.35">
      <c r="A650">
        <v>2019</v>
      </c>
      <c r="B650" t="s">
        <v>54</v>
      </c>
      <c r="C650" t="s">
        <v>25</v>
      </c>
      <c r="D650" s="1">
        <v>14969</v>
      </c>
      <c r="E650" s="1">
        <v>188094</v>
      </c>
      <c r="F650" s="2">
        <v>41557</v>
      </c>
    </row>
    <row r="651" spans="1:6" x14ac:dyDescent="0.35">
      <c r="A651">
        <v>2019</v>
      </c>
      <c r="B651" t="s">
        <v>54</v>
      </c>
      <c r="C651" t="s">
        <v>26</v>
      </c>
      <c r="D651" s="1">
        <v>15866</v>
      </c>
      <c r="E651" s="1">
        <v>261018</v>
      </c>
      <c r="F651" s="2">
        <v>45452</v>
      </c>
    </row>
    <row r="652" spans="1:6" x14ac:dyDescent="0.35">
      <c r="A652">
        <v>2019</v>
      </c>
      <c r="B652" t="s">
        <v>54</v>
      </c>
      <c r="C652" t="s">
        <v>27</v>
      </c>
      <c r="D652" s="1">
        <v>12448</v>
      </c>
      <c r="E652" s="1">
        <v>139278</v>
      </c>
      <c r="F652" s="2">
        <v>49409</v>
      </c>
    </row>
    <row r="653" spans="1:6" x14ac:dyDescent="0.35">
      <c r="A653">
        <v>2019</v>
      </c>
      <c r="B653" t="s">
        <v>54</v>
      </c>
      <c r="C653" t="s">
        <v>28</v>
      </c>
      <c r="D653" s="1">
        <v>54227</v>
      </c>
      <c r="E653" s="1">
        <v>876452</v>
      </c>
      <c r="F653" s="2">
        <v>55204</v>
      </c>
    </row>
    <row r="654" spans="1:6" x14ac:dyDescent="0.35">
      <c r="A654">
        <v>2019</v>
      </c>
      <c r="B654" t="s">
        <v>54</v>
      </c>
      <c r="C654" t="s">
        <v>29</v>
      </c>
      <c r="D654" s="1">
        <v>10974</v>
      </c>
      <c r="E654" s="1">
        <v>135131</v>
      </c>
      <c r="F654" s="2">
        <v>39275</v>
      </c>
    </row>
    <row r="655" spans="1:6" x14ac:dyDescent="0.35">
      <c r="A655">
        <v>2019</v>
      </c>
      <c r="B655" t="s">
        <v>54</v>
      </c>
      <c r="C655" t="s">
        <v>30</v>
      </c>
      <c r="D655" s="1">
        <v>120950</v>
      </c>
      <c r="E655" s="1">
        <v>1543991</v>
      </c>
      <c r="F655" s="2">
        <v>53710</v>
      </c>
    </row>
    <row r="656" spans="1:6" x14ac:dyDescent="0.35">
      <c r="A656">
        <v>2019</v>
      </c>
      <c r="B656" t="s">
        <v>54</v>
      </c>
      <c r="C656" t="s">
        <v>31</v>
      </c>
      <c r="D656" s="1">
        <v>62397</v>
      </c>
      <c r="E656" s="1">
        <v>846177</v>
      </c>
      <c r="F656" s="2">
        <v>44579</v>
      </c>
    </row>
    <row r="657" spans="1:6" x14ac:dyDescent="0.35">
      <c r="A657">
        <v>2019</v>
      </c>
      <c r="B657" t="s">
        <v>54</v>
      </c>
      <c r="C657" t="s">
        <v>32</v>
      </c>
      <c r="D657" s="1">
        <v>7738</v>
      </c>
      <c r="E657" s="1">
        <v>91333</v>
      </c>
      <c r="F657" s="2">
        <v>51925</v>
      </c>
    </row>
    <row r="658" spans="1:6" x14ac:dyDescent="0.35">
      <c r="A658">
        <v>2019</v>
      </c>
      <c r="B658" t="s">
        <v>54</v>
      </c>
      <c r="C658" t="s">
        <v>33</v>
      </c>
      <c r="D658" s="1">
        <v>68958</v>
      </c>
      <c r="E658" s="1">
        <v>1021890</v>
      </c>
      <c r="F658" s="2">
        <v>45569</v>
      </c>
    </row>
    <row r="659" spans="1:6" x14ac:dyDescent="0.35">
      <c r="A659">
        <v>2019</v>
      </c>
      <c r="B659" t="s">
        <v>54</v>
      </c>
      <c r="C659" t="s">
        <v>34</v>
      </c>
      <c r="D659" s="1">
        <v>23883</v>
      </c>
      <c r="E659" s="1">
        <v>300268</v>
      </c>
      <c r="F659" s="2">
        <v>43049</v>
      </c>
    </row>
    <row r="660" spans="1:6" x14ac:dyDescent="0.35">
      <c r="A660">
        <v>2019</v>
      </c>
      <c r="B660" t="s">
        <v>54</v>
      </c>
      <c r="C660" t="s">
        <v>35</v>
      </c>
      <c r="D660" s="1">
        <v>26460</v>
      </c>
      <c r="E660" s="1">
        <v>354168</v>
      </c>
      <c r="F660" s="2">
        <v>45879</v>
      </c>
    </row>
    <row r="661" spans="1:6" x14ac:dyDescent="0.35">
      <c r="A661">
        <v>2019</v>
      </c>
      <c r="B661" t="s">
        <v>54</v>
      </c>
      <c r="C661" t="s">
        <v>36</v>
      </c>
      <c r="D661" s="1">
        <v>74684</v>
      </c>
      <c r="E661" s="1">
        <v>1117033</v>
      </c>
      <c r="F661" s="2">
        <v>46296</v>
      </c>
    </row>
    <row r="662" spans="1:6" x14ac:dyDescent="0.35">
      <c r="A662">
        <v>2019</v>
      </c>
      <c r="B662" t="s">
        <v>54</v>
      </c>
      <c r="C662" t="s">
        <v>37</v>
      </c>
      <c r="D662" s="1">
        <v>7648</v>
      </c>
      <c r="E662" s="1">
        <v>76672</v>
      </c>
      <c r="F662" s="2">
        <v>45232</v>
      </c>
    </row>
    <row r="663" spans="1:6" x14ac:dyDescent="0.35">
      <c r="A663">
        <v>2019</v>
      </c>
      <c r="B663" t="s">
        <v>54</v>
      </c>
      <c r="C663" t="s">
        <v>38</v>
      </c>
      <c r="D663" s="1">
        <v>31073</v>
      </c>
      <c r="E663" s="1">
        <v>406455</v>
      </c>
      <c r="F663" s="2">
        <v>41048</v>
      </c>
    </row>
    <row r="664" spans="1:6" x14ac:dyDescent="0.35">
      <c r="A664">
        <v>2019</v>
      </c>
      <c r="B664" t="s">
        <v>54</v>
      </c>
      <c r="C664" t="s">
        <v>39</v>
      </c>
      <c r="D664" s="1">
        <v>8027</v>
      </c>
      <c r="E664" s="1">
        <v>85125</v>
      </c>
      <c r="F664" s="2">
        <v>40980</v>
      </c>
    </row>
    <row r="665" spans="1:6" x14ac:dyDescent="0.35">
      <c r="A665">
        <v>2019</v>
      </c>
      <c r="B665" t="s">
        <v>54</v>
      </c>
      <c r="C665" t="s">
        <v>40</v>
      </c>
      <c r="D665" s="1">
        <v>40380</v>
      </c>
      <c r="E665" s="1">
        <v>633819</v>
      </c>
      <c r="F665" s="2">
        <v>46991</v>
      </c>
    </row>
    <row r="666" spans="1:6" x14ac:dyDescent="0.35">
      <c r="A666">
        <v>2019</v>
      </c>
      <c r="B666" t="s">
        <v>54</v>
      </c>
      <c r="C666" t="s">
        <v>41</v>
      </c>
      <c r="D666" s="1">
        <v>150310</v>
      </c>
      <c r="E666" s="1">
        <v>2496193</v>
      </c>
      <c r="F666" s="2">
        <v>54323</v>
      </c>
    </row>
    <row r="667" spans="1:6" x14ac:dyDescent="0.35">
      <c r="A667">
        <v>2019</v>
      </c>
      <c r="B667" t="s">
        <v>54</v>
      </c>
      <c r="C667" t="s">
        <v>42</v>
      </c>
      <c r="D667" s="1">
        <v>20066</v>
      </c>
      <c r="E667" s="1">
        <v>289140</v>
      </c>
      <c r="F667" s="2">
        <v>45785</v>
      </c>
    </row>
    <row r="668" spans="1:6" x14ac:dyDescent="0.35">
      <c r="A668">
        <v>2019</v>
      </c>
      <c r="B668" t="s">
        <v>54</v>
      </c>
      <c r="C668" t="s">
        <v>43</v>
      </c>
      <c r="D668" s="1">
        <v>5040</v>
      </c>
      <c r="E668" s="1">
        <v>53817</v>
      </c>
      <c r="F668" s="2">
        <v>41456</v>
      </c>
    </row>
    <row r="669" spans="1:6" x14ac:dyDescent="0.35">
      <c r="A669">
        <v>2019</v>
      </c>
      <c r="B669" t="s">
        <v>54</v>
      </c>
      <c r="C669" t="s">
        <v>44</v>
      </c>
      <c r="D669" s="1">
        <v>42839</v>
      </c>
      <c r="E669" s="1">
        <v>650148</v>
      </c>
      <c r="F669" s="2">
        <v>45486</v>
      </c>
    </row>
    <row r="670" spans="1:6" x14ac:dyDescent="0.35">
      <c r="A670">
        <v>2019</v>
      </c>
      <c r="B670" t="s">
        <v>54</v>
      </c>
      <c r="C670" t="s">
        <v>45</v>
      </c>
      <c r="D670" s="1">
        <v>38692</v>
      </c>
      <c r="E670" s="1">
        <v>628543</v>
      </c>
      <c r="F670" s="2">
        <v>67312</v>
      </c>
    </row>
    <row r="671" spans="1:6" x14ac:dyDescent="0.35">
      <c r="A671">
        <v>2019</v>
      </c>
      <c r="B671" t="s">
        <v>54</v>
      </c>
      <c r="C671" t="s">
        <v>46</v>
      </c>
      <c r="D671" s="1">
        <v>10709</v>
      </c>
      <c r="E671" s="1">
        <v>125470</v>
      </c>
      <c r="F671" s="2">
        <v>40148</v>
      </c>
    </row>
    <row r="672" spans="1:6" x14ac:dyDescent="0.35">
      <c r="A672">
        <v>2019</v>
      </c>
      <c r="B672" t="s">
        <v>54</v>
      </c>
      <c r="C672" t="s">
        <v>47</v>
      </c>
      <c r="D672" s="1">
        <v>36253</v>
      </c>
      <c r="E672" s="1">
        <v>533175</v>
      </c>
      <c r="F672" s="2">
        <v>42647</v>
      </c>
    </row>
    <row r="673" spans="1:6" x14ac:dyDescent="0.35">
      <c r="A673">
        <v>2019</v>
      </c>
      <c r="B673" t="s">
        <v>54</v>
      </c>
      <c r="C673" t="s">
        <v>48</v>
      </c>
      <c r="D673" s="1">
        <v>4819</v>
      </c>
      <c r="E673" s="1">
        <v>49901</v>
      </c>
      <c r="F673" s="2">
        <v>44408</v>
      </c>
    </row>
    <row r="674" spans="1:6" x14ac:dyDescent="0.35">
      <c r="A674">
        <v>2019</v>
      </c>
      <c r="B674" t="s">
        <v>53</v>
      </c>
      <c r="C674" t="s">
        <v>1</v>
      </c>
      <c r="D674" s="1">
        <v>2309</v>
      </c>
      <c r="E674" s="1">
        <v>21296</v>
      </c>
      <c r="F674" s="2">
        <v>62845</v>
      </c>
    </row>
    <row r="675" spans="1:6" x14ac:dyDescent="0.35">
      <c r="A675">
        <v>2019</v>
      </c>
      <c r="B675" t="s">
        <v>53</v>
      </c>
      <c r="C675" t="s">
        <v>2</v>
      </c>
      <c r="D675" s="1">
        <v>3691</v>
      </c>
      <c r="E675" s="1">
        <v>49188</v>
      </c>
      <c r="F675" s="2">
        <v>77822</v>
      </c>
    </row>
    <row r="676" spans="1:6" x14ac:dyDescent="0.35">
      <c r="A676">
        <v>2019</v>
      </c>
      <c r="B676" t="s">
        <v>53</v>
      </c>
      <c r="C676" t="s">
        <v>3</v>
      </c>
      <c r="D676" s="1">
        <v>1303</v>
      </c>
      <c r="E676" s="1">
        <v>10974</v>
      </c>
      <c r="F676" s="2">
        <v>57981</v>
      </c>
    </row>
    <row r="677" spans="1:6" x14ac:dyDescent="0.35">
      <c r="A677">
        <v>2019</v>
      </c>
      <c r="B677" t="s">
        <v>53</v>
      </c>
      <c r="C677" t="s">
        <v>4</v>
      </c>
      <c r="D677" s="1">
        <v>28529</v>
      </c>
      <c r="E677" s="1">
        <v>550084</v>
      </c>
      <c r="F677" s="2">
        <v>191278</v>
      </c>
    </row>
    <row r="678" spans="1:6" x14ac:dyDescent="0.35">
      <c r="A678">
        <v>2019</v>
      </c>
      <c r="B678" t="s">
        <v>53</v>
      </c>
      <c r="C678" t="s">
        <v>5</v>
      </c>
      <c r="D678" s="1">
        <v>4330</v>
      </c>
      <c r="E678" s="1">
        <v>76292</v>
      </c>
      <c r="F678" s="2">
        <v>109380</v>
      </c>
    </row>
    <row r="679" spans="1:6" x14ac:dyDescent="0.35">
      <c r="A679">
        <v>2019</v>
      </c>
      <c r="B679" t="s">
        <v>53</v>
      </c>
      <c r="C679" t="s">
        <v>6</v>
      </c>
      <c r="D679" s="1">
        <v>2551</v>
      </c>
      <c r="E679" s="1">
        <v>31469</v>
      </c>
      <c r="F679" s="2">
        <v>120406</v>
      </c>
    </row>
    <row r="680" spans="1:6" x14ac:dyDescent="0.35">
      <c r="A680">
        <v>2019</v>
      </c>
      <c r="B680" t="s">
        <v>53</v>
      </c>
      <c r="C680" t="s">
        <v>7</v>
      </c>
      <c r="D680">
        <v>497</v>
      </c>
      <c r="E680" s="1">
        <v>3905</v>
      </c>
      <c r="F680" s="2">
        <v>70031</v>
      </c>
    </row>
    <row r="681" spans="1:6" x14ac:dyDescent="0.35">
      <c r="A681">
        <v>2019</v>
      </c>
      <c r="B681" t="s">
        <v>53</v>
      </c>
      <c r="C681" t="s">
        <v>8</v>
      </c>
      <c r="D681" s="1">
        <v>11744</v>
      </c>
      <c r="E681" s="1">
        <v>138845</v>
      </c>
      <c r="F681" s="2">
        <v>86153</v>
      </c>
    </row>
    <row r="682" spans="1:6" x14ac:dyDescent="0.35">
      <c r="A682">
        <v>2019</v>
      </c>
      <c r="B682" t="s">
        <v>53</v>
      </c>
      <c r="C682" t="s">
        <v>9</v>
      </c>
      <c r="D682" s="1">
        <v>5380</v>
      </c>
      <c r="E682" s="1">
        <v>116215</v>
      </c>
      <c r="F682" s="2">
        <v>100462</v>
      </c>
    </row>
    <row r="683" spans="1:6" x14ac:dyDescent="0.35">
      <c r="A683">
        <v>2019</v>
      </c>
      <c r="B683" t="s">
        <v>53</v>
      </c>
      <c r="C683" t="s">
        <v>10</v>
      </c>
      <c r="D683" s="1">
        <v>1231</v>
      </c>
      <c r="E683" s="1">
        <v>8802</v>
      </c>
      <c r="F683" s="2">
        <v>56211</v>
      </c>
    </row>
    <row r="684" spans="1:6" x14ac:dyDescent="0.35">
      <c r="A684">
        <v>2019</v>
      </c>
      <c r="B684" t="s">
        <v>53</v>
      </c>
      <c r="C684" t="s">
        <v>11</v>
      </c>
      <c r="D684" s="1">
        <v>6998</v>
      </c>
      <c r="E684" s="1">
        <v>94879</v>
      </c>
      <c r="F684" s="2">
        <v>96732</v>
      </c>
    </row>
    <row r="685" spans="1:6" x14ac:dyDescent="0.35">
      <c r="A685">
        <v>2019</v>
      </c>
      <c r="B685" t="s">
        <v>53</v>
      </c>
      <c r="C685" t="s">
        <v>12</v>
      </c>
      <c r="D685" s="1">
        <v>2278</v>
      </c>
      <c r="E685" s="1">
        <v>28628</v>
      </c>
      <c r="F685" s="2">
        <v>62444</v>
      </c>
    </row>
    <row r="686" spans="1:6" x14ac:dyDescent="0.35">
      <c r="A686">
        <v>2019</v>
      </c>
      <c r="B686" t="s">
        <v>53</v>
      </c>
      <c r="C686" t="s">
        <v>13</v>
      </c>
      <c r="D686" s="1">
        <v>1778</v>
      </c>
      <c r="E686" s="1">
        <v>21356</v>
      </c>
      <c r="F686" s="2">
        <v>60664</v>
      </c>
    </row>
    <row r="687" spans="1:6" x14ac:dyDescent="0.35">
      <c r="A687">
        <v>2019</v>
      </c>
      <c r="B687" t="s">
        <v>53</v>
      </c>
      <c r="C687" t="s">
        <v>14</v>
      </c>
      <c r="D687" s="1">
        <v>1386</v>
      </c>
      <c r="E687" s="1">
        <v>18137</v>
      </c>
      <c r="F687" s="2">
        <v>66434</v>
      </c>
    </row>
    <row r="688" spans="1:6" x14ac:dyDescent="0.35">
      <c r="A688">
        <v>2019</v>
      </c>
      <c r="B688" t="s">
        <v>53</v>
      </c>
      <c r="C688" t="s">
        <v>15</v>
      </c>
      <c r="D688" s="1">
        <v>1924</v>
      </c>
      <c r="E688" s="1">
        <v>21670</v>
      </c>
      <c r="F688" s="2">
        <v>58590</v>
      </c>
    </row>
    <row r="689" spans="1:6" x14ac:dyDescent="0.35">
      <c r="A689">
        <v>2019</v>
      </c>
      <c r="B689" t="s">
        <v>53</v>
      </c>
      <c r="C689" t="s">
        <v>16</v>
      </c>
      <c r="D689" s="1">
        <v>1801</v>
      </c>
      <c r="E689" s="1">
        <v>22427</v>
      </c>
      <c r="F689" s="2">
        <v>60638</v>
      </c>
    </row>
    <row r="690" spans="1:6" x14ac:dyDescent="0.35">
      <c r="A690">
        <v>2019</v>
      </c>
      <c r="B690" t="s">
        <v>53</v>
      </c>
      <c r="C690" t="s">
        <v>17</v>
      </c>
      <c r="D690">
        <v>869</v>
      </c>
      <c r="E690" s="1">
        <v>7158</v>
      </c>
      <c r="F690" s="2">
        <v>57442</v>
      </c>
    </row>
    <row r="691" spans="1:6" x14ac:dyDescent="0.35">
      <c r="A691">
        <v>2019</v>
      </c>
      <c r="B691" t="s">
        <v>53</v>
      </c>
      <c r="C691" t="s">
        <v>18</v>
      </c>
      <c r="D691" s="1">
        <v>2846</v>
      </c>
      <c r="E691" s="1">
        <v>35678</v>
      </c>
      <c r="F691" s="2">
        <v>98834</v>
      </c>
    </row>
    <row r="692" spans="1:6" x14ac:dyDescent="0.35">
      <c r="A692">
        <v>2019</v>
      </c>
      <c r="B692" t="s">
        <v>53</v>
      </c>
      <c r="C692" t="s">
        <v>19</v>
      </c>
      <c r="D692" s="1">
        <v>5717</v>
      </c>
      <c r="E692" s="1">
        <v>93033</v>
      </c>
      <c r="F692" s="2">
        <v>128022</v>
      </c>
    </row>
    <row r="693" spans="1:6" x14ac:dyDescent="0.35">
      <c r="A693">
        <v>2019</v>
      </c>
      <c r="B693" t="s">
        <v>53</v>
      </c>
      <c r="C693" t="s">
        <v>20</v>
      </c>
      <c r="D693" s="1">
        <v>7146</v>
      </c>
      <c r="E693" s="1">
        <v>55298</v>
      </c>
      <c r="F693" s="2">
        <v>77504</v>
      </c>
    </row>
    <row r="694" spans="1:6" x14ac:dyDescent="0.35">
      <c r="A694">
        <v>2019</v>
      </c>
      <c r="B694" t="s">
        <v>53</v>
      </c>
      <c r="C694" t="s">
        <v>21</v>
      </c>
      <c r="D694" s="1">
        <v>4133</v>
      </c>
      <c r="E694" s="1">
        <v>46906</v>
      </c>
      <c r="F694" s="2">
        <v>83846</v>
      </c>
    </row>
    <row r="695" spans="1:6" x14ac:dyDescent="0.35">
      <c r="A695">
        <v>2019</v>
      </c>
      <c r="B695" t="s">
        <v>53</v>
      </c>
      <c r="C695" t="s">
        <v>22</v>
      </c>
      <c r="D695">
        <v>944</v>
      </c>
      <c r="E695" s="1">
        <v>10695</v>
      </c>
      <c r="F695" s="2">
        <v>49438</v>
      </c>
    </row>
    <row r="696" spans="1:6" x14ac:dyDescent="0.35">
      <c r="A696">
        <v>2019</v>
      </c>
      <c r="B696" t="s">
        <v>53</v>
      </c>
      <c r="C696" t="s">
        <v>23</v>
      </c>
      <c r="D696" s="1">
        <v>3310</v>
      </c>
      <c r="E696" s="1">
        <v>46729</v>
      </c>
      <c r="F696" s="2">
        <v>85960</v>
      </c>
    </row>
    <row r="697" spans="1:6" x14ac:dyDescent="0.35">
      <c r="A697">
        <v>2019</v>
      </c>
      <c r="B697" t="s">
        <v>53</v>
      </c>
      <c r="C697" t="s">
        <v>24</v>
      </c>
      <c r="D697">
        <v>799</v>
      </c>
      <c r="E697" s="1">
        <v>6210</v>
      </c>
      <c r="F697" s="2">
        <v>56592</v>
      </c>
    </row>
    <row r="698" spans="1:6" x14ac:dyDescent="0.35">
      <c r="A698">
        <v>2019</v>
      </c>
      <c r="B698" t="s">
        <v>53</v>
      </c>
      <c r="C698" t="s">
        <v>25</v>
      </c>
      <c r="D698" s="1">
        <v>1015</v>
      </c>
      <c r="E698" s="1">
        <v>17258</v>
      </c>
      <c r="F698" s="2">
        <v>66732</v>
      </c>
    </row>
    <row r="699" spans="1:6" x14ac:dyDescent="0.35">
      <c r="A699">
        <v>2019</v>
      </c>
      <c r="B699" t="s">
        <v>53</v>
      </c>
      <c r="C699" t="s">
        <v>26</v>
      </c>
      <c r="D699" s="1">
        <v>1664</v>
      </c>
      <c r="E699" s="1">
        <v>15847</v>
      </c>
      <c r="F699" s="2">
        <v>73213</v>
      </c>
    </row>
    <row r="700" spans="1:6" x14ac:dyDescent="0.35">
      <c r="A700">
        <v>2019</v>
      </c>
      <c r="B700" t="s">
        <v>53</v>
      </c>
      <c r="C700" t="s">
        <v>27</v>
      </c>
      <c r="D700" s="1">
        <v>1037</v>
      </c>
      <c r="E700" s="1">
        <v>12334</v>
      </c>
      <c r="F700" s="2">
        <v>97212</v>
      </c>
    </row>
    <row r="701" spans="1:6" x14ac:dyDescent="0.35">
      <c r="A701">
        <v>2019</v>
      </c>
      <c r="B701" t="s">
        <v>53</v>
      </c>
      <c r="C701" t="s">
        <v>28</v>
      </c>
      <c r="D701" s="1">
        <v>3724</v>
      </c>
      <c r="E701" s="1">
        <v>67578</v>
      </c>
      <c r="F701" s="2">
        <v>117433</v>
      </c>
    </row>
    <row r="702" spans="1:6" x14ac:dyDescent="0.35">
      <c r="A702">
        <v>2019</v>
      </c>
      <c r="B702" t="s">
        <v>53</v>
      </c>
      <c r="C702" t="s">
        <v>29</v>
      </c>
      <c r="D702" s="1">
        <v>1074</v>
      </c>
      <c r="E702" s="1">
        <v>11166</v>
      </c>
      <c r="F702" s="2">
        <v>57554</v>
      </c>
    </row>
    <row r="703" spans="1:6" x14ac:dyDescent="0.35">
      <c r="A703">
        <v>2019</v>
      </c>
      <c r="B703" t="s">
        <v>53</v>
      </c>
      <c r="C703" t="s">
        <v>30</v>
      </c>
      <c r="D703" s="1">
        <v>12812</v>
      </c>
      <c r="E703" s="1">
        <v>277408</v>
      </c>
      <c r="F703" s="2">
        <v>135959</v>
      </c>
    </row>
    <row r="704" spans="1:6" x14ac:dyDescent="0.35">
      <c r="A704">
        <v>2019</v>
      </c>
      <c r="B704" t="s">
        <v>53</v>
      </c>
      <c r="C704" t="s">
        <v>31</v>
      </c>
      <c r="D704" s="1">
        <v>5669</v>
      </c>
      <c r="E704" s="1">
        <v>75919</v>
      </c>
      <c r="F704" s="2">
        <v>87039</v>
      </c>
    </row>
    <row r="705" spans="1:6" x14ac:dyDescent="0.35">
      <c r="A705">
        <v>2019</v>
      </c>
      <c r="B705" t="s">
        <v>53</v>
      </c>
      <c r="C705" t="s">
        <v>32</v>
      </c>
      <c r="D705">
        <v>402</v>
      </c>
      <c r="E705" s="1">
        <v>6093</v>
      </c>
      <c r="F705" s="2">
        <v>71543</v>
      </c>
    </row>
    <row r="706" spans="1:6" x14ac:dyDescent="0.35">
      <c r="A706">
        <v>2019</v>
      </c>
      <c r="B706" t="s">
        <v>53</v>
      </c>
      <c r="C706" t="s">
        <v>33</v>
      </c>
      <c r="D706" s="1">
        <v>4915</v>
      </c>
      <c r="E706" s="1">
        <v>69330</v>
      </c>
      <c r="F706" s="2">
        <v>72613</v>
      </c>
    </row>
    <row r="707" spans="1:6" x14ac:dyDescent="0.35">
      <c r="A707">
        <v>2019</v>
      </c>
      <c r="B707" t="s">
        <v>53</v>
      </c>
      <c r="C707" t="s">
        <v>34</v>
      </c>
      <c r="D707" s="1">
        <v>1550</v>
      </c>
      <c r="E707" s="1">
        <v>19627</v>
      </c>
      <c r="F707" s="2">
        <v>60407</v>
      </c>
    </row>
    <row r="708" spans="1:6" x14ac:dyDescent="0.35">
      <c r="A708">
        <v>2019</v>
      </c>
      <c r="B708" t="s">
        <v>53</v>
      </c>
      <c r="C708" t="s">
        <v>35</v>
      </c>
      <c r="D708" s="1">
        <v>4135</v>
      </c>
      <c r="E708" s="1">
        <v>35053</v>
      </c>
      <c r="F708" s="2">
        <v>89633</v>
      </c>
    </row>
    <row r="709" spans="1:6" x14ac:dyDescent="0.35">
      <c r="A709">
        <v>2019</v>
      </c>
      <c r="B709" t="s">
        <v>53</v>
      </c>
      <c r="C709" t="s">
        <v>36</v>
      </c>
      <c r="D709" s="1">
        <v>5348</v>
      </c>
      <c r="E709" s="1">
        <v>87043</v>
      </c>
      <c r="F709" s="2">
        <v>94900</v>
      </c>
    </row>
    <row r="710" spans="1:6" x14ac:dyDescent="0.35">
      <c r="A710">
        <v>2019</v>
      </c>
      <c r="B710" t="s">
        <v>53</v>
      </c>
      <c r="C710" t="s">
        <v>37</v>
      </c>
      <c r="D710">
        <v>714</v>
      </c>
      <c r="E710" s="1">
        <v>5878</v>
      </c>
      <c r="F710" s="2">
        <v>76409</v>
      </c>
    </row>
    <row r="711" spans="1:6" x14ac:dyDescent="0.35">
      <c r="A711">
        <v>2019</v>
      </c>
      <c r="B711" t="s">
        <v>53</v>
      </c>
      <c r="C711" t="s">
        <v>38</v>
      </c>
      <c r="D711" s="1">
        <v>2883</v>
      </c>
      <c r="E711" s="1">
        <v>26869</v>
      </c>
      <c r="F711" s="2">
        <v>66032</v>
      </c>
    </row>
    <row r="712" spans="1:6" x14ac:dyDescent="0.35">
      <c r="A712">
        <v>2019</v>
      </c>
      <c r="B712" t="s">
        <v>53</v>
      </c>
      <c r="C712" t="s">
        <v>39</v>
      </c>
      <c r="D712">
        <v>589</v>
      </c>
      <c r="E712" s="1">
        <v>5500</v>
      </c>
      <c r="F712" s="2">
        <v>51535</v>
      </c>
    </row>
    <row r="713" spans="1:6" x14ac:dyDescent="0.35">
      <c r="A713">
        <v>2019</v>
      </c>
      <c r="B713" t="s">
        <v>53</v>
      </c>
      <c r="C713" t="s">
        <v>40</v>
      </c>
      <c r="D713" s="1">
        <v>3981</v>
      </c>
      <c r="E713" s="1">
        <v>45042</v>
      </c>
      <c r="F713" s="2">
        <v>75375</v>
      </c>
    </row>
    <row r="714" spans="1:6" x14ac:dyDescent="0.35">
      <c r="A714">
        <v>2019</v>
      </c>
      <c r="B714" t="s">
        <v>53</v>
      </c>
      <c r="C714" t="s">
        <v>41</v>
      </c>
      <c r="D714" s="1">
        <v>10627</v>
      </c>
      <c r="E714" s="1">
        <v>208591</v>
      </c>
      <c r="F714" s="2">
        <v>90857</v>
      </c>
    </row>
    <row r="715" spans="1:6" x14ac:dyDescent="0.35">
      <c r="A715">
        <v>2019</v>
      </c>
      <c r="B715" t="s">
        <v>53</v>
      </c>
      <c r="C715" t="s">
        <v>42</v>
      </c>
      <c r="D715" s="1">
        <v>2776</v>
      </c>
      <c r="E715" s="1">
        <v>38323</v>
      </c>
      <c r="F715" s="2">
        <v>84735</v>
      </c>
    </row>
    <row r="716" spans="1:6" x14ac:dyDescent="0.35">
      <c r="A716">
        <v>2019</v>
      </c>
      <c r="B716" t="s">
        <v>53</v>
      </c>
      <c r="C716" t="s">
        <v>43</v>
      </c>
      <c r="D716">
        <v>527</v>
      </c>
      <c r="E716" s="1">
        <v>4322</v>
      </c>
      <c r="F716" s="2">
        <v>62861</v>
      </c>
    </row>
    <row r="717" spans="1:6" x14ac:dyDescent="0.35">
      <c r="A717">
        <v>2019</v>
      </c>
      <c r="B717" t="s">
        <v>53</v>
      </c>
      <c r="C717" t="s">
        <v>44</v>
      </c>
      <c r="D717" s="1">
        <v>4600</v>
      </c>
      <c r="E717" s="1">
        <v>67714</v>
      </c>
      <c r="F717" s="2">
        <v>107966</v>
      </c>
    </row>
    <row r="718" spans="1:6" x14ac:dyDescent="0.35">
      <c r="A718">
        <v>2019</v>
      </c>
      <c r="B718" t="s">
        <v>53</v>
      </c>
      <c r="C718" t="s">
        <v>45</v>
      </c>
      <c r="D718" s="1">
        <v>5007</v>
      </c>
      <c r="E718" s="1">
        <v>143883</v>
      </c>
      <c r="F718" s="2">
        <v>207135</v>
      </c>
    </row>
    <row r="719" spans="1:6" x14ac:dyDescent="0.35">
      <c r="A719">
        <v>2019</v>
      </c>
      <c r="B719" t="s">
        <v>53</v>
      </c>
      <c r="C719" t="s">
        <v>46</v>
      </c>
      <c r="D719">
        <v>818</v>
      </c>
      <c r="E719" s="1">
        <v>8072</v>
      </c>
      <c r="F719" s="2">
        <v>53281</v>
      </c>
    </row>
    <row r="720" spans="1:6" x14ac:dyDescent="0.35">
      <c r="A720">
        <v>2019</v>
      </c>
      <c r="B720" t="s">
        <v>53</v>
      </c>
      <c r="C720" t="s">
        <v>47</v>
      </c>
      <c r="D720" s="1">
        <v>2335</v>
      </c>
      <c r="E720" s="1">
        <v>46993</v>
      </c>
      <c r="F720" s="2">
        <v>82512</v>
      </c>
    </row>
    <row r="721" spans="1:6" x14ac:dyDescent="0.35">
      <c r="A721">
        <v>2019</v>
      </c>
      <c r="B721" t="s">
        <v>53</v>
      </c>
      <c r="C721" t="s">
        <v>48</v>
      </c>
      <c r="D721">
        <v>417</v>
      </c>
      <c r="E721" s="1">
        <v>3424</v>
      </c>
      <c r="F721" s="2">
        <v>49035</v>
      </c>
    </row>
    <row r="722" spans="1:6" x14ac:dyDescent="0.35">
      <c r="A722">
        <v>2019</v>
      </c>
      <c r="B722" t="s">
        <v>56</v>
      </c>
      <c r="C722" t="s">
        <v>1</v>
      </c>
      <c r="D722" s="1">
        <v>13590</v>
      </c>
      <c r="E722" s="1">
        <v>95053</v>
      </c>
      <c r="F722" s="2">
        <v>71076</v>
      </c>
    </row>
    <row r="723" spans="1:6" x14ac:dyDescent="0.35">
      <c r="A723">
        <v>2019</v>
      </c>
      <c r="B723" t="s">
        <v>56</v>
      </c>
      <c r="C723" t="s">
        <v>2</v>
      </c>
      <c r="D723" s="1">
        <v>19357</v>
      </c>
      <c r="E723" s="1">
        <v>223263</v>
      </c>
      <c r="F723" s="2">
        <v>74627</v>
      </c>
    </row>
    <row r="724" spans="1:6" x14ac:dyDescent="0.35">
      <c r="A724">
        <v>2019</v>
      </c>
      <c r="B724" t="s">
        <v>56</v>
      </c>
      <c r="C724" t="s">
        <v>3</v>
      </c>
      <c r="D724" s="1">
        <v>8591</v>
      </c>
      <c r="E724" s="1">
        <v>51934</v>
      </c>
      <c r="F724" s="2">
        <v>60198</v>
      </c>
    </row>
    <row r="725" spans="1:6" x14ac:dyDescent="0.35">
      <c r="A725">
        <v>2019</v>
      </c>
      <c r="B725" t="s">
        <v>56</v>
      </c>
      <c r="C725" t="s">
        <v>4</v>
      </c>
      <c r="D725" s="1">
        <v>109980</v>
      </c>
      <c r="E725" s="1">
        <v>841829</v>
      </c>
      <c r="F725" s="2">
        <v>112757</v>
      </c>
    </row>
    <row r="726" spans="1:6" x14ac:dyDescent="0.35">
      <c r="A726">
        <v>2019</v>
      </c>
      <c r="B726" t="s">
        <v>56</v>
      </c>
      <c r="C726" t="s">
        <v>5</v>
      </c>
      <c r="D726" s="1">
        <v>24028</v>
      </c>
      <c r="E726" s="1">
        <v>167272</v>
      </c>
      <c r="F726" s="2">
        <v>88613</v>
      </c>
    </row>
    <row r="727" spans="1:6" x14ac:dyDescent="0.35">
      <c r="A727">
        <v>2019</v>
      </c>
      <c r="B727" t="s">
        <v>56</v>
      </c>
      <c r="C727" t="s">
        <v>6</v>
      </c>
      <c r="D727" s="1">
        <v>11028</v>
      </c>
      <c r="E727" s="1">
        <v>121869</v>
      </c>
      <c r="F727" s="2">
        <v>157629</v>
      </c>
    </row>
    <row r="728" spans="1:6" x14ac:dyDescent="0.35">
      <c r="A728">
        <v>2019</v>
      </c>
      <c r="B728" t="s">
        <v>56</v>
      </c>
      <c r="C728" t="s">
        <v>7</v>
      </c>
      <c r="D728" s="1">
        <v>2907</v>
      </c>
      <c r="E728" s="1">
        <v>48162</v>
      </c>
      <c r="F728" s="2">
        <v>97426</v>
      </c>
    </row>
    <row r="729" spans="1:6" x14ac:dyDescent="0.35">
      <c r="A729">
        <v>2019</v>
      </c>
      <c r="B729" t="s">
        <v>56</v>
      </c>
      <c r="C729" t="s">
        <v>8</v>
      </c>
      <c r="D729" s="1">
        <v>76648</v>
      </c>
      <c r="E729" s="1">
        <v>585959</v>
      </c>
      <c r="F729" s="2">
        <v>77025</v>
      </c>
    </row>
    <row r="730" spans="1:6" x14ac:dyDescent="0.35">
      <c r="A730">
        <v>2019</v>
      </c>
      <c r="B730" t="s">
        <v>56</v>
      </c>
      <c r="C730" t="s">
        <v>9</v>
      </c>
      <c r="D730" s="1">
        <v>26961</v>
      </c>
      <c r="E730" s="1">
        <v>242468</v>
      </c>
      <c r="F730" s="2">
        <v>86701</v>
      </c>
    </row>
    <row r="731" spans="1:6" x14ac:dyDescent="0.35">
      <c r="A731">
        <v>2019</v>
      </c>
      <c r="B731" t="s">
        <v>56</v>
      </c>
      <c r="C731" t="s">
        <v>10</v>
      </c>
      <c r="D731" s="1">
        <v>5859</v>
      </c>
      <c r="E731" s="1">
        <v>33273</v>
      </c>
      <c r="F731" s="2">
        <v>59504</v>
      </c>
    </row>
    <row r="732" spans="1:6" x14ac:dyDescent="0.35">
      <c r="A732">
        <v>2019</v>
      </c>
      <c r="B732" t="s">
        <v>56</v>
      </c>
      <c r="C732" t="s">
        <v>11</v>
      </c>
      <c r="D732" s="1">
        <v>32792</v>
      </c>
      <c r="E732" s="1">
        <v>381941</v>
      </c>
      <c r="F732" s="2">
        <v>113091</v>
      </c>
    </row>
    <row r="733" spans="1:6" x14ac:dyDescent="0.35">
      <c r="A733">
        <v>2019</v>
      </c>
      <c r="B733" t="s">
        <v>56</v>
      </c>
      <c r="C733" t="s">
        <v>12</v>
      </c>
      <c r="D733" s="1">
        <v>16940</v>
      </c>
      <c r="E733" s="1">
        <v>135547</v>
      </c>
      <c r="F733" s="2">
        <v>67469</v>
      </c>
    </row>
    <row r="734" spans="1:6" x14ac:dyDescent="0.35">
      <c r="A734">
        <v>2019</v>
      </c>
      <c r="B734" t="s">
        <v>56</v>
      </c>
      <c r="C734" t="s">
        <v>13</v>
      </c>
      <c r="D734" s="1">
        <v>10414</v>
      </c>
      <c r="E734" s="1">
        <v>110010</v>
      </c>
      <c r="F734" s="2">
        <v>76212</v>
      </c>
    </row>
    <row r="735" spans="1:6" x14ac:dyDescent="0.35">
      <c r="A735">
        <v>2019</v>
      </c>
      <c r="B735" t="s">
        <v>56</v>
      </c>
      <c r="C735" t="s">
        <v>14</v>
      </c>
      <c r="D735" s="1">
        <v>8744</v>
      </c>
      <c r="E735" s="1">
        <v>74336</v>
      </c>
      <c r="F735" s="2">
        <v>68950</v>
      </c>
    </row>
    <row r="736" spans="1:6" x14ac:dyDescent="0.35">
      <c r="A736">
        <v>2019</v>
      </c>
      <c r="B736" t="s">
        <v>56</v>
      </c>
      <c r="C736" t="s">
        <v>15</v>
      </c>
      <c r="D736" s="1">
        <v>11201</v>
      </c>
      <c r="E736" s="1">
        <v>93556</v>
      </c>
      <c r="F736" s="2">
        <v>69885</v>
      </c>
    </row>
    <row r="737" spans="1:6" x14ac:dyDescent="0.35">
      <c r="A737">
        <v>2019</v>
      </c>
      <c r="B737" t="s">
        <v>56</v>
      </c>
      <c r="C737" t="s">
        <v>16</v>
      </c>
      <c r="D737" s="1">
        <v>13852</v>
      </c>
      <c r="E737" s="1">
        <v>84791</v>
      </c>
      <c r="F737" s="2">
        <v>63590</v>
      </c>
    </row>
    <row r="738" spans="1:6" x14ac:dyDescent="0.35">
      <c r="A738">
        <v>2019</v>
      </c>
      <c r="B738" t="s">
        <v>56</v>
      </c>
      <c r="C738" t="s">
        <v>17</v>
      </c>
      <c r="D738" s="1">
        <v>3854</v>
      </c>
      <c r="E738" s="1">
        <v>30481</v>
      </c>
      <c r="F738" s="2">
        <v>70030</v>
      </c>
    </row>
    <row r="739" spans="1:6" x14ac:dyDescent="0.35">
      <c r="A739">
        <v>2019</v>
      </c>
      <c r="B739" t="s">
        <v>56</v>
      </c>
      <c r="C739" t="s">
        <v>18</v>
      </c>
      <c r="D739" s="1">
        <v>15512</v>
      </c>
      <c r="E739" s="1">
        <v>135216</v>
      </c>
      <c r="F739" s="2">
        <v>98024</v>
      </c>
    </row>
    <row r="740" spans="1:6" x14ac:dyDescent="0.35">
      <c r="A740">
        <v>2019</v>
      </c>
      <c r="B740" t="s">
        <v>56</v>
      </c>
      <c r="C740" t="s">
        <v>19</v>
      </c>
      <c r="D740" s="1">
        <v>17883</v>
      </c>
      <c r="E740" s="1">
        <v>218858</v>
      </c>
      <c r="F740" s="2">
        <v>147565</v>
      </c>
    </row>
    <row r="741" spans="1:6" x14ac:dyDescent="0.35">
      <c r="A741">
        <v>2019</v>
      </c>
      <c r="B741" t="s">
        <v>56</v>
      </c>
      <c r="C741" t="s">
        <v>20</v>
      </c>
      <c r="D741" s="1">
        <v>19641</v>
      </c>
      <c r="E741" s="1">
        <v>208812</v>
      </c>
      <c r="F741" s="2">
        <v>73691</v>
      </c>
    </row>
    <row r="742" spans="1:6" x14ac:dyDescent="0.35">
      <c r="A742">
        <v>2019</v>
      </c>
      <c r="B742" t="s">
        <v>56</v>
      </c>
      <c r="C742" t="s">
        <v>21</v>
      </c>
      <c r="D742" s="1">
        <v>15855</v>
      </c>
      <c r="E742" s="1">
        <v>182914</v>
      </c>
      <c r="F742" s="2">
        <v>97673</v>
      </c>
    </row>
    <row r="743" spans="1:6" x14ac:dyDescent="0.35">
      <c r="A743">
        <v>2019</v>
      </c>
      <c r="B743" t="s">
        <v>56</v>
      </c>
      <c r="C743" t="s">
        <v>22</v>
      </c>
      <c r="D743" s="1">
        <v>7944</v>
      </c>
      <c r="E743" s="1">
        <v>43109</v>
      </c>
      <c r="F743" s="2">
        <v>54672</v>
      </c>
    </row>
    <row r="744" spans="1:6" x14ac:dyDescent="0.35">
      <c r="A744">
        <v>2019</v>
      </c>
      <c r="B744" t="s">
        <v>56</v>
      </c>
      <c r="C744" t="s">
        <v>23</v>
      </c>
      <c r="D744" s="1">
        <v>17951</v>
      </c>
      <c r="E744" s="1">
        <v>166025</v>
      </c>
      <c r="F744" s="2">
        <v>75387</v>
      </c>
    </row>
    <row r="745" spans="1:6" x14ac:dyDescent="0.35">
      <c r="A745">
        <v>2019</v>
      </c>
      <c r="B745" t="s">
        <v>56</v>
      </c>
      <c r="C745" t="s">
        <v>24</v>
      </c>
      <c r="D745" s="1">
        <v>4314</v>
      </c>
      <c r="E745" s="1">
        <v>22199</v>
      </c>
      <c r="F745" s="2">
        <v>60907</v>
      </c>
    </row>
    <row r="746" spans="1:6" x14ac:dyDescent="0.35">
      <c r="A746">
        <v>2019</v>
      </c>
      <c r="B746" t="s">
        <v>56</v>
      </c>
      <c r="C746" t="s">
        <v>25</v>
      </c>
      <c r="D746" s="1">
        <v>6842</v>
      </c>
      <c r="E746" s="1">
        <v>67425</v>
      </c>
      <c r="F746" s="2">
        <v>69072</v>
      </c>
    </row>
    <row r="747" spans="1:6" x14ac:dyDescent="0.35">
      <c r="A747">
        <v>2019</v>
      </c>
      <c r="B747" t="s">
        <v>56</v>
      </c>
      <c r="C747" t="s">
        <v>26</v>
      </c>
      <c r="D747" s="1">
        <v>9324</v>
      </c>
      <c r="E747" s="1">
        <v>64932</v>
      </c>
      <c r="F747" s="2">
        <v>70204</v>
      </c>
    </row>
    <row r="748" spans="1:6" x14ac:dyDescent="0.35">
      <c r="A748">
        <v>2019</v>
      </c>
      <c r="B748" t="s">
        <v>56</v>
      </c>
      <c r="C748" t="s">
        <v>27</v>
      </c>
      <c r="D748" s="1">
        <v>3881</v>
      </c>
      <c r="E748" s="1">
        <v>33418</v>
      </c>
      <c r="F748" s="2">
        <v>100104</v>
      </c>
    </row>
    <row r="749" spans="1:6" x14ac:dyDescent="0.35">
      <c r="A749">
        <v>2019</v>
      </c>
      <c r="B749" t="s">
        <v>56</v>
      </c>
      <c r="C749" t="s">
        <v>28</v>
      </c>
      <c r="D749" s="1">
        <v>20037</v>
      </c>
      <c r="E749" s="1">
        <v>243892</v>
      </c>
      <c r="F749" s="2">
        <v>117277</v>
      </c>
    </row>
    <row r="750" spans="1:6" x14ac:dyDescent="0.35">
      <c r="A750">
        <v>2019</v>
      </c>
      <c r="B750" t="s">
        <v>56</v>
      </c>
      <c r="C750" t="s">
        <v>29</v>
      </c>
      <c r="D750" s="1">
        <v>5460</v>
      </c>
      <c r="E750" s="1">
        <v>33799</v>
      </c>
      <c r="F750" s="2">
        <v>57768</v>
      </c>
    </row>
    <row r="751" spans="1:6" x14ac:dyDescent="0.35">
      <c r="A751">
        <v>2019</v>
      </c>
      <c r="B751" t="s">
        <v>56</v>
      </c>
      <c r="C751" t="s">
        <v>30</v>
      </c>
      <c r="D751" s="1">
        <v>63310</v>
      </c>
      <c r="E751" s="1">
        <v>720818</v>
      </c>
      <c r="F751" s="2">
        <v>191494</v>
      </c>
    </row>
    <row r="752" spans="1:6" x14ac:dyDescent="0.35">
      <c r="A752">
        <v>2019</v>
      </c>
      <c r="B752" t="s">
        <v>56</v>
      </c>
      <c r="C752" t="s">
        <v>31</v>
      </c>
      <c r="D752" s="1">
        <v>28672</v>
      </c>
      <c r="E752" s="1">
        <v>245903</v>
      </c>
      <c r="F752" s="2">
        <v>89886</v>
      </c>
    </row>
    <row r="753" spans="1:6" x14ac:dyDescent="0.35">
      <c r="A753">
        <v>2019</v>
      </c>
      <c r="B753" t="s">
        <v>56</v>
      </c>
      <c r="C753" t="s">
        <v>32</v>
      </c>
      <c r="D753" s="1">
        <v>2985</v>
      </c>
      <c r="E753" s="1">
        <v>23264</v>
      </c>
      <c r="F753" s="2">
        <v>65784</v>
      </c>
    </row>
    <row r="754" spans="1:6" x14ac:dyDescent="0.35">
      <c r="A754">
        <v>2019</v>
      </c>
      <c r="B754" t="s">
        <v>56</v>
      </c>
      <c r="C754" t="s">
        <v>33</v>
      </c>
      <c r="D754" s="1">
        <v>29119</v>
      </c>
      <c r="E754" s="1">
        <v>292556</v>
      </c>
      <c r="F754" s="2">
        <v>75683</v>
      </c>
    </row>
    <row r="755" spans="1:6" x14ac:dyDescent="0.35">
      <c r="A755">
        <v>2019</v>
      </c>
      <c r="B755" t="s">
        <v>56</v>
      </c>
      <c r="C755" t="s">
        <v>34</v>
      </c>
      <c r="D755" s="1">
        <v>11672</v>
      </c>
      <c r="E755" s="1">
        <v>77324</v>
      </c>
      <c r="F755" s="2">
        <v>59814</v>
      </c>
    </row>
    <row r="756" spans="1:6" x14ac:dyDescent="0.35">
      <c r="A756">
        <v>2019</v>
      </c>
      <c r="B756" t="s">
        <v>56</v>
      </c>
      <c r="C756" t="s">
        <v>35</v>
      </c>
      <c r="D756" s="1">
        <v>13190</v>
      </c>
      <c r="E756" s="1">
        <v>85425</v>
      </c>
      <c r="F756" s="2">
        <v>73291</v>
      </c>
    </row>
    <row r="757" spans="1:6" x14ac:dyDescent="0.35">
      <c r="A757">
        <v>2019</v>
      </c>
      <c r="B757" t="s">
        <v>56</v>
      </c>
      <c r="C757" t="s">
        <v>36</v>
      </c>
      <c r="D757" s="1">
        <v>29264</v>
      </c>
      <c r="E757" s="1">
        <v>329745</v>
      </c>
      <c r="F757" s="2">
        <v>90778</v>
      </c>
    </row>
    <row r="758" spans="1:6" x14ac:dyDescent="0.35">
      <c r="A758">
        <v>2019</v>
      </c>
      <c r="B758" t="s">
        <v>56</v>
      </c>
      <c r="C758" t="s">
        <v>37</v>
      </c>
      <c r="D758" s="1">
        <v>2934</v>
      </c>
      <c r="E758" s="1">
        <v>32223</v>
      </c>
      <c r="F758" s="2">
        <v>91537</v>
      </c>
    </row>
    <row r="759" spans="1:6" x14ac:dyDescent="0.35">
      <c r="A759">
        <v>2019</v>
      </c>
      <c r="B759" t="s">
        <v>56</v>
      </c>
      <c r="C759" t="s">
        <v>38</v>
      </c>
      <c r="D759" s="1">
        <v>14196</v>
      </c>
      <c r="E759" s="1">
        <v>101755</v>
      </c>
      <c r="F759" s="2">
        <v>64481</v>
      </c>
    </row>
    <row r="760" spans="1:6" x14ac:dyDescent="0.35">
      <c r="A760">
        <v>2019</v>
      </c>
      <c r="B760" t="s">
        <v>56</v>
      </c>
      <c r="C760" t="s">
        <v>39</v>
      </c>
      <c r="D760" s="1">
        <v>3315</v>
      </c>
      <c r="E760" s="1">
        <v>28483</v>
      </c>
      <c r="F760" s="2">
        <v>63499</v>
      </c>
    </row>
    <row r="761" spans="1:6" x14ac:dyDescent="0.35">
      <c r="A761">
        <v>2019</v>
      </c>
      <c r="B761" t="s">
        <v>56</v>
      </c>
      <c r="C761" t="s">
        <v>40</v>
      </c>
      <c r="D761" s="1">
        <v>16270</v>
      </c>
      <c r="E761" s="1">
        <v>157388</v>
      </c>
      <c r="F761" s="2">
        <v>77805</v>
      </c>
    </row>
    <row r="762" spans="1:6" x14ac:dyDescent="0.35">
      <c r="A762">
        <v>2019</v>
      </c>
      <c r="B762" t="s">
        <v>56</v>
      </c>
      <c r="C762" t="s">
        <v>41</v>
      </c>
      <c r="D762" s="1">
        <v>76169</v>
      </c>
      <c r="E762" s="1">
        <v>777574</v>
      </c>
      <c r="F762" s="2">
        <v>86718</v>
      </c>
    </row>
    <row r="763" spans="1:6" x14ac:dyDescent="0.35">
      <c r="A763">
        <v>2019</v>
      </c>
      <c r="B763" t="s">
        <v>56</v>
      </c>
      <c r="C763" t="s">
        <v>42</v>
      </c>
      <c r="D763" s="1">
        <v>11885</v>
      </c>
      <c r="E763" s="1">
        <v>90007</v>
      </c>
      <c r="F763" s="2">
        <v>70967</v>
      </c>
    </row>
    <row r="764" spans="1:6" x14ac:dyDescent="0.35">
      <c r="A764">
        <v>2019</v>
      </c>
      <c r="B764" t="s">
        <v>56</v>
      </c>
      <c r="C764" t="s">
        <v>43</v>
      </c>
      <c r="D764" s="1">
        <v>1709</v>
      </c>
      <c r="E764" s="1">
        <v>11948</v>
      </c>
      <c r="F764" s="2">
        <v>74642</v>
      </c>
    </row>
    <row r="765" spans="1:6" x14ac:dyDescent="0.35">
      <c r="A765">
        <v>2019</v>
      </c>
      <c r="B765" t="s">
        <v>56</v>
      </c>
      <c r="C765" t="s">
        <v>44</v>
      </c>
      <c r="D765" s="1">
        <v>22249</v>
      </c>
      <c r="E765" s="1">
        <v>198459</v>
      </c>
      <c r="F765" s="2">
        <v>88029</v>
      </c>
    </row>
    <row r="766" spans="1:6" x14ac:dyDescent="0.35">
      <c r="A766">
        <v>2019</v>
      </c>
      <c r="B766" t="s">
        <v>56</v>
      </c>
      <c r="C766" t="s">
        <v>45</v>
      </c>
      <c r="D766" s="1">
        <v>17624</v>
      </c>
      <c r="E766" s="1">
        <v>150178</v>
      </c>
      <c r="F766" s="2">
        <v>85242</v>
      </c>
    </row>
    <row r="767" spans="1:6" x14ac:dyDescent="0.35">
      <c r="A767">
        <v>2019</v>
      </c>
      <c r="B767" t="s">
        <v>56</v>
      </c>
      <c r="C767" t="s">
        <v>46</v>
      </c>
      <c r="D767" s="1">
        <v>4003</v>
      </c>
      <c r="E767" s="1">
        <v>24569</v>
      </c>
      <c r="F767" s="2">
        <v>54528</v>
      </c>
    </row>
    <row r="768" spans="1:6" x14ac:dyDescent="0.35">
      <c r="A768">
        <v>2019</v>
      </c>
      <c r="B768" t="s">
        <v>56</v>
      </c>
      <c r="C768" t="s">
        <v>47</v>
      </c>
      <c r="D768" s="1">
        <v>14066</v>
      </c>
      <c r="E768" s="1">
        <v>150327</v>
      </c>
      <c r="F768" s="2">
        <v>74040</v>
      </c>
    </row>
    <row r="769" spans="1:6" x14ac:dyDescent="0.35">
      <c r="A769">
        <v>2019</v>
      </c>
      <c r="B769" t="s">
        <v>56</v>
      </c>
      <c r="C769" t="s">
        <v>48</v>
      </c>
      <c r="D769" s="1">
        <v>2306</v>
      </c>
      <c r="E769" s="1">
        <v>11180</v>
      </c>
      <c r="F769" s="2">
        <v>60849</v>
      </c>
    </row>
    <row r="770" spans="1:6" x14ac:dyDescent="0.35">
      <c r="A770">
        <v>2019</v>
      </c>
      <c r="B770" t="s">
        <v>57</v>
      </c>
      <c r="C770" t="s">
        <v>1</v>
      </c>
      <c r="D770" s="1">
        <v>22186</v>
      </c>
      <c r="E770" s="1">
        <v>251073</v>
      </c>
      <c r="F770" s="2">
        <v>57061</v>
      </c>
    </row>
    <row r="771" spans="1:6" x14ac:dyDescent="0.35">
      <c r="A771">
        <v>2019</v>
      </c>
      <c r="B771" t="s">
        <v>57</v>
      </c>
      <c r="C771" t="s">
        <v>2</v>
      </c>
      <c r="D771" s="1">
        <v>38940</v>
      </c>
      <c r="E771" s="1">
        <v>445648</v>
      </c>
      <c r="F771" s="2">
        <v>58892</v>
      </c>
    </row>
    <row r="772" spans="1:6" x14ac:dyDescent="0.35">
      <c r="A772">
        <v>2019</v>
      </c>
      <c r="B772" t="s">
        <v>57</v>
      </c>
      <c r="C772" t="s">
        <v>3</v>
      </c>
      <c r="D772" s="1">
        <v>14911</v>
      </c>
      <c r="E772" s="1">
        <v>145841</v>
      </c>
      <c r="F772" s="2">
        <v>63354</v>
      </c>
    </row>
    <row r="773" spans="1:6" x14ac:dyDescent="0.35">
      <c r="A773">
        <v>2019</v>
      </c>
      <c r="B773" t="s">
        <v>57</v>
      </c>
      <c r="C773" t="s">
        <v>4</v>
      </c>
      <c r="D773" s="1">
        <v>215691</v>
      </c>
      <c r="E773" s="1">
        <v>2723437</v>
      </c>
      <c r="F773" s="2">
        <v>95348</v>
      </c>
    </row>
    <row r="774" spans="1:6" x14ac:dyDescent="0.35">
      <c r="A774">
        <v>2019</v>
      </c>
      <c r="B774" t="s">
        <v>57</v>
      </c>
      <c r="C774" t="s">
        <v>5</v>
      </c>
      <c r="D774" s="1">
        <v>55003</v>
      </c>
      <c r="E774" s="1">
        <v>439613</v>
      </c>
      <c r="F774" s="2">
        <v>86477</v>
      </c>
    </row>
    <row r="775" spans="1:6" x14ac:dyDescent="0.35">
      <c r="A775">
        <v>2019</v>
      </c>
      <c r="B775" t="s">
        <v>57</v>
      </c>
      <c r="C775" t="s">
        <v>6</v>
      </c>
      <c r="D775" s="1">
        <v>23755</v>
      </c>
      <c r="E775" s="1">
        <v>218815</v>
      </c>
      <c r="F775" s="2">
        <v>92139</v>
      </c>
    </row>
    <row r="776" spans="1:6" x14ac:dyDescent="0.35">
      <c r="A776">
        <v>2019</v>
      </c>
      <c r="B776" t="s">
        <v>57</v>
      </c>
      <c r="C776" t="s">
        <v>7</v>
      </c>
      <c r="D776" s="1">
        <v>9421</v>
      </c>
      <c r="E776" s="1">
        <v>63844</v>
      </c>
      <c r="F776" s="2">
        <v>82658</v>
      </c>
    </row>
    <row r="777" spans="1:6" x14ac:dyDescent="0.35">
      <c r="A777">
        <v>2019</v>
      </c>
      <c r="B777" t="s">
        <v>57</v>
      </c>
      <c r="C777" t="s">
        <v>8</v>
      </c>
      <c r="D777" s="1">
        <v>170397</v>
      </c>
      <c r="E777" s="1">
        <v>1391050</v>
      </c>
      <c r="F777" s="2">
        <v>63740</v>
      </c>
    </row>
    <row r="778" spans="1:6" x14ac:dyDescent="0.35">
      <c r="A778">
        <v>2019</v>
      </c>
      <c r="B778" t="s">
        <v>57</v>
      </c>
      <c r="C778" t="s">
        <v>9</v>
      </c>
      <c r="D778" s="1">
        <v>56304</v>
      </c>
      <c r="E778" s="1">
        <v>717238</v>
      </c>
      <c r="F778" s="2">
        <v>71861</v>
      </c>
    </row>
    <row r="779" spans="1:6" x14ac:dyDescent="0.35">
      <c r="A779">
        <v>2019</v>
      </c>
      <c r="B779" t="s">
        <v>57</v>
      </c>
      <c r="C779" t="s">
        <v>10</v>
      </c>
      <c r="D779" s="1">
        <v>11359</v>
      </c>
      <c r="E779" s="1">
        <v>94181</v>
      </c>
      <c r="F779" s="2">
        <v>55072</v>
      </c>
    </row>
    <row r="780" spans="1:6" x14ac:dyDescent="0.35">
      <c r="A780">
        <v>2019</v>
      </c>
      <c r="B780" t="s">
        <v>57</v>
      </c>
      <c r="C780" t="s">
        <v>11</v>
      </c>
      <c r="D780" s="1">
        <v>75870</v>
      </c>
      <c r="E780" s="1">
        <v>948055</v>
      </c>
      <c r="F780" s="2">
        <v>78228</v>
      </c>
    </row>
    <row r="781" spans="1:6" x14ac:dyDescent="0.35">
      <c r="A781">
        <v>2019</v>
      </c>
      <c r="B781" t="s">
        <v>57</v>
      </c>
      <c r="C781" t="s">
        <v>12</v>
      </c>
      <c r="D781" s="1">
        <v>30165</v>
      </c>
      <c r="E781" s="1">
        <v>346667</v>
      </c>
      <c r="F781" s="2">
        <v>53817</v>
      </c>
    </row>
    <row r="782" spans="1:6" x14ac:dyDescent="0.35">
      <c r="A782">
        <v>2019</v>
      </c>
      <c r="B782" t="s">
        <v>57</v>
      </c>
      <c r="C782" t="s">
        <v>13</v>
      </c>
      <c r="D782" s="1">
        <v>16421</v>
      </c>
      <c r="E782" s="1">
        <v>139337</v>
      </c>
      <c r="F782" s="2">
        <v>56755</v>
      </c>
    </row>
    <row r="783" spans="1:6" x14ac:dyDescent="0.35">
      <c r="A783">
        <v>2019</v>
      </c>
      <c r="B783" t="s">
        <v>57</v>
      </c>
      <c r="C783" t="s">
        <v>14</v>
      </c>
      <c r="D783" s="1">
        <v>16598</v>
      </c>
      <c r="E783" s="1">
        <v>179211</v>
      </c>
      <c r="F783" s="2">
        <v>64554</v>
      </c>
    </row>
    <row r="784" spans="1:6" x14ac:dyDescent="0.35">
      <c r="A784">
        <v>2019</v>
      </c>
      <c r="B784" t="s">
        <v>57</v>
      </c>
      <c r="C784" t="s">
        <v>15</v>
      </c>
      <c r="D784" s="1">
        <v>20866</v>
      </c>
      <c r="E784" s="1">
        <v>216049</v>
      </c>
      <c r="F784" s="2">
        <v>52511</v>
      </c>
    </row>
    <row r="785" spans="1:6" x14ac:dyDescent="0.35">
      <c r="A785">
        <v>2019</v>
      </c>
      <c r="B785" t="s">
        <v>57</v>
      </c>
      <c r="C785" t="s">
        <v>16</v>
      </c>
      <c r="D785" s="1">
        <v>25304</v>
      </c>
      <c r="E785" s="1">
        <v>216009</v>
      </c>
      <c r="F785" s="2">
        <v>57624</v>
      </c>
    </row>
    <row r="786" spans="1:6" x14ac:dyDescent="0.35">
      <c r="A786">
        <v>2019</v>
      </c>
      <c r="B786" t="s">
        <v>57</v>
      </c>
      <c r="C786" t="s">
        <v>17</v>
      </c>
      <c r="D786" s="1">
        <v>10504</v>
      </c>
      <c r="E786" s="1">
        <v>69931</v>
      </c>
      <c r="F786" s="2">
        <v>60893</v>
      </c>
    </row>
    <row r="787" spans="1:6" x14ac:dyDescent="0.35">
      <c r="A787">
        <v>2019</v>
      </c>
      <c r="B787" t="s">
        <v>57</v>
      </c>
      <c r="C787" t="s">
        <v>18</v>
      </c>
      <c r="D787" s="1">
        <v>44172</v>
      </c>
      <c r="E787" s="1">
        <v>461724</v>
      </c>
      <c r="F787" s="2">
        <v>82573</v>
      </c>
    </row>
    <row r="788" spans="1:6" x14ac:dyDescent="0.35">
      <c r="A788">
        <v>2019</v>
      </c>
      <c r="B788" t="s">
        <v>57</v>
      </c>
      <c r="C788" t="s">
        <v>19</v>
      </c>
      <c r="D788" s="1">
        <v>47892</v>
      </c>
      <c r="E788" s="1">
        <v>605822</v>
      </c>
      <c r="F788" s="2">
        <v>113872</v>
      </c>
    </row>
    <row r="789" spans="1:6" x14ac:dyDescent="0.35">
      <c r="A789">
        <v>2019</v>
      </c>
      <c r="B789" t="s">
        <v>57</v>
      </c>
      <c r="C789" t="s">
        <v>20</v>
      </c>
      <c r="D789" s="1">
        <v>44483</v>
      </c>
      <c r="E789" s="1">
        <v>655188</v>
      </c>
      <c r="F789" s="2">
        <v>70805</v>
      </c>
    </row>
    <row r="790" spans="1:6" x14ac:dyDescent="0.35">
      <c r="A790">
        <v>2019</v>
      </c>
      <c r="B790" t="s">
        <v>57</v>
      </c>
      <c r="C790" t="s">
        <v>21</v>
      </c>
      <c r="D790" s="1">
        <v>32903</v>
      </c>
      <c r="E790" s="1">
        <v>383591</v>
      </c>
      <c r="F790" s="2">
        <v>85736</v>
      </c>
    </row>
    <row r="791" spans="1:6" x14ac:dyDescent="0.35">
      <c r="A791">
        <v>2019</v>
      </c>
      <c r="B791" t="s">
        <v>57</v>
      </c>
      <c r="C791" t="s">
        <v>22</v>
      </c>
      <c r="D791" s="1">
        <v>12421</v>
      </c>
      <c r="E791" s="1">
        <v>108490</v>
      </c>
      <c r="F791" s="2">
        <v>43023</v>
      </c>
    </row>
    <row r="792" spans="1:6" x14ac:dyDescent="0.35">
      <c r="A792">
        <v>2019</v>
      </c>
      <c r="B792" t="s">
        <v>57</v>
      </c>
      <c r="C792" t="s">
        <v>23</v>
      </c>
      <c r="D792" s="1">
        <v>34349</v>
      </c>
      <c r="E792" s="1">
        <v>382484</v>
      </c>
      <c r="F792" s="2">
        <v>68700</v>
      </c>
    </row>
    <row r="793" spans="1:6" x14ac:dyDescent="0.35">
      <c r="A793">
        <v>2019</v>
      </c>
      <c r="B793" t="s">
        <v>57</v>
      </c>
      <c r="C793" t="s">
        <v>24</v>
      </c>
      <c r="D793" s="1">
        <v>9482</v>
      </c>
      <c r="E793" s="1">
        <v>43417</v>
      </c>
      <c r="F793" s="2">
        <v>54553</v>
      </c>
    </row>
    <row r="794" spans="1:6" x14ac:dyDescent="0.35">
      <c r="A794">
        <v>2019</v>
      </c>
      <c r="B794" t="s">
        <v>57</v>
      </c>
      <c r="C794" t="s">
        <v>25</v>
      </c>
      <c r="D794" s="1">
        <v>11737</v>
      </c>
      <c r="E794" s="1">
        <v>120560</v>
      </c>
      <c r="F794" s="2">
        <v>60603</v>
      </c>
    </row>
    <row r="795" spans="1:6" x14ac:dyDescent="0.35">
      <c r="A795">
        <v>2019</v>
      </c>
      <c r="B795" t="s">
        <v>57</v>
      </c>
      <c r="C795" t="s">
        <v>26</v>
      </c>
      <c r="D795" s="1">
        <v>20106</v>
      </c>
      <c r="E795" s="1">
        <v>196204</v>
      </c>
      <c r="F795" s="2">
        <v>62008</v>
      </c>
    </row>
    <row r="796" spans="1:6" x14ac:dyDescent="0.35">
      <c r="A796">
        <v>2019</v>
      </c>
      <c r="B796" t="s">
        <v>57</v>
      </c>
      <c r="C796" t="s">
        <v>27</v>
      </c>
      <c r="D796" s="1">
        <v>12808</v>
      </c>
      <c r="E796" s="1">
        <v>83513</v>
      </c>
      <c r="F796" s="2">
        <v>80647</v>
      </c>
    </row>
    <row r="797" spans="1:6" x14ac:dyDescent="0.35">
      <c r="A797">
        <v>2019</v>
      </c>
      <c r="B797" t="s">
        <v>57</v>
      </c>
      <c r="C797" t="s">
        <v>28</v>
      </c>
      <c r="D797" s="1">
        <v>52040</v>
      </c>
      <c r="E797" s="1">
        <v>677810</v>
      </c>
      <c r="F797" s="2">
        <v>94022</v>
      </c>
    </row>
    <row r="798" spans="1:6" x14ac:dyDescent="0.35">
      <c r="A798">
        <v>2019</v>
      </c>
      <c r="B798" t="s">
        <v>57</v>
      </c>
      <c r="C798" t="s">
        <v>29</v>
      </c>
      <c r="D798" s="1">
        <v>11347</v>
      </c>
      <c r="E798" s="1">
        <v>111478</v>
      </c>
      <c r="F798" s="2">
        <v>64156</v>
      </c>
    </row>
    <row r="799" spans="1:6" x14ac:dyDescent="0.35">
      <c r="A799">
        <v>2019</v>
      </c>
      <c r="B799" t="s">
        <v>57</v>
      </c>
      <c r="C799" t="s">
        <v>30</v>
      </c>
      <c r="D799" s="1">
        <v>112890</v>
      </c>
      <c r="E799" s="1">
        <v>1368950</v>
      </c>
      <c r="F799" s="2">
        <v>99615</v>
      </c>
    </row>
    <row r="800" spans="1:6" x14ac:dyDescent="0.35">
      <c r="A800">
        <v>2019</v>
      </c>
      <c r="B800" t="s">
        <v>57</v>
      </c>
      <c r="C800" t="s">
        <v>31</v>
      </c>
      <c r="D800" s="1">
        <v>61321</v>
      </c>
      <c r="E800" s="1">
        <v>649747</v>
      </c>
      <c r="F800" s="2">
        <v>67705</v>
      </c>
    </row>
    <row r="801" spans="1:6" x14ac:dyDescent="0.35">
      <c r="A801">
        <v>2019</v>
      </c>
      <c r="B801" t="s">
        <v>57</v>
      </c>
      <c r="C801" t="s">
        <v>32</v>
      </c>
      <c r="D801" s="1">
        <v>5198</v>
      </c>
      <c r="E801" s="1">
        <v>32856</v>
      </c>
      <c r="F801" s="2">
        <v>63897</v>
      </c>
    </row>
    <row r="802" spans="1:6" x14ac:dyDescent="0.35">
      <c r="A802">
        <v>2019</v>
      </c>
      <c r="B802" t="s">
        <v>57</v>
      </c>
      <c r="C802" t="s">
        <v>33</v>
      </c>
      <c r="D802" s="1">
        <v>54330</v>
      </c>
      <c r="E802" s="1">
        <v>734963</v>
      </c>
      <c r="F802" s="2">
        <v>66752</v>
      </c>
    </row>
    <row r="803" spans="1:6" x14ac:dyDescent="0.35">
      <c r="A803">
        <v>2019</v>
      </c>
      <c r="B803" t="s">
        <v>57</v>
      </c>
      <c r="C803" t="s">
        <v>34</v>
      </c>
      <c r="D803" s="1">
        <v>21148</v>
      </c>
      <c r="E803" s="1">
        <v>194601</v>
      </c>
      <c r="F803" s="2">
        <v>54841</v>
      </c>
    </row>
    <row r="804" spans="1:6" x14ac:dyDescent="0.35">
      <c r="A804">
        <v>2019</v>
      </c>
      <c r="B804" t="s">
        <v>57</v>
      </c>
      <c r="C804" t="s">
        <v>35</v>
      </c>
      <c r="D804" s="1">
        <v>26161</v>
      </c>
      <c r="E804" s="1">
        <v>253667</v>
      </c>
      <c r="F804" s="2">
        <v>73460</v>
      </c>
    </row>
    <row r="805" spans="1:6" x14ac:dyDescent="0.35">
      <c r="A805">
        <v>2019</v>
      </c>
      <c r="B805" t="s">
        <v>57</v>
      </c>
      <c r="C805" t="s">
        <v>36</v>
      </c>
      <c r="D805" s="1">
        <v>64541</v>
      </c>
      <c r="E805" s="1">
        <v>816358</v>
      </c>
      <c r="F805" s="2">
        <v>81681</v>
      </c>
    </row>
    <row r="806" spans="1:6" x14ac:dyDescent="0.35">
      <c r="A806">
        <v>2019</v>
      </c>
      <c r="B806" t="s">
        <v>57</v>
      </c>
      <c r="C806" t="s">
        <v>37</v>
      </c>
      <c r="D806" s="1">
        <v>9043</v>
      </c>
      <c r="E806" s="1">
        <v>68259</v>
      </c>
      <c r="F806" s="2">
        <v>68454</v>
      </c>
    </row>
    <row r="807" spans="1:6" x14ac:dyDescent="0.35">
      <c r="A807">
        <v>2019</v>
      </c>
      <c r="B807" t="s">
        <v>57</v>
      </c>
      <c r="C807" t="s">
        <v>38</v>
      </c>
      <c r="D807" s="1">
        <v>29329</v>
      </c>
      <c r="E807" s="1">
        <v>298404</v>
      </c>
      <c r="F807" s="2">
        <v>52492</v>
      </c>
    </row>
    <row r="808" spans="1:6" x14ac:dyDescent="0.35">
      <c r="A808">
        <v>2019</v>
      </c>
      <c r="B808" t="s">
        <v>57</v>
      </c>
      <c r="C808" t="s">
        <v>39</v>
      </c>
      <c r="D808" s="1">
        <v>5498</v>
      </c>
      <c r="E808" s="1">
        <v>33117</v>
      </c>
      <c r="F808" s="2">
        <v>58619</v>
      </c>
    </row>
    <row r="809" spans="1:6" x14ac:dyDescent="0.35">
      <c r="A809">
        <v>2019</v>
      </c>
      <c r="B809" t="s">
        <v>57</v>
      </c>
      <c r="C809" t="s">
        <v>40</v>
      </c>
      <c r="D809" s="1">
        <v>30774</v>
      </c>
      <c r="E809" s="1">
        <v>425933</v>
      </c>
      <c r="F809" s="2">
        <v>62990</v>
      </c>
    </row>
    <row r="810" spans="1:6" x14ac:dyDescent="0.35">
      <c r="A810">
        <v>2019</v>
      </c>
      <c r="B810" t="s">
        <v>57</v>
      </c>
      <c r="C810" t="s">
        <v>41</v>
      </c>
      <c r="D810" s="1">
        <v>139953</v>
      </c>
      <c r="E810" s="1">
        <v>1794316</v>
      </c>
      <c r="F810" s="2">
        <v>77197</v>
      </c>
    </row>
    <row r="811" spans="1:6" x14ac:dyDescent="0.35">
      <c r="A811">
        <v>2019</v>
      </c>
      <c r="B811" t="s">
        <v>57</v>
      </c>
      <c r="C811" t="s">
        <v>42</v>
      </c>
      <c r="D811" s="1">
        <v>24485</v>
      </c>
      <c r="E811" s="1">
        <v>221851</v>
      </c>
      <c r="F811" s="2">
        <v>64641</v>
      </c>
    </row>
    <row r="812" spans="1:6" x14ac:dyDescent="0.35">
      <c r="A812">
        <v>2019</v>
      </c>
      <c r="B812" t="s">
        <v>57</v>
      </c>
      <c r="C812" t="s">
        <v>43</v>
      </c>
      <c r="D812" s="1">
        <v>5970</v>
      </c>
      <c r="E812" s="1">
        <v>29394</v>
      </c>
      <c r="F812" s="2">
        <v>68986</v>
      </c>
    </row>
    <row r="813" spans="1:6" x14ac:dyDescent="0.35">
      <c r="A813">
        <v>2019</v>
      </c>
      <c r="B813" t="s">
        <v>57</v>
      </c>
      <c r="C813" t="s">
        <v>44</v>
      </c>
      <c r="D813" s="1">
        <v>59342</v>
      </c>
      <c r="E813" s="1">
        <v>762590</v>
      </c>
      <c r="F813" s="2">
        <v>90327</v>
      </c>
    </row>
    <row r="814" spans="1:6" x14ac:dyDescent="0.35">
      <c r="A814">
        <v>2019</v>
      </c>
      <c r="B814" t="s">
        <v>57</v>
      </c>
      <c r="C814" t="s">
        <v>45</v>
      </c>
      <c r="D814" s="1">
        <v>41249</v>
      </c>
      <c r="E814" s="1">
        <v>425615</v>
      </c>
      <c r="F814" s="2">
        <v>85460</v>
      </c>
    </row>
    <row r="815" spans="1:6" x14ac:dyDescent="0.35">
      <c r="A815">
        <v>2019</v>
      </c>
      <c r="B815" t="s">
        <v>57</v>
      </c>
      <c r="C815" t="s">
        <v>46</v>
      </c>
      <c r="D815" s="1">
        <v>8381</v>
      </c>
      <c r="E815" s="1">
        <v>69069</v>
      </c>
      <c r="F815" s="2">
        <v>52180</v>
      </c>
    </row>
    <row r="816" spans="1:6" x14ac:dyDescent="0.35">
      <c r="A816">
        <v>2019</v>
      </c>
      <c r="B816" t="s">
        <v>57</v>
      </c>
      <c r="C816" t="s">
        <v>47</v>
      </c>
      <c r="D816" s="1">
        <v>26927</v>
      </c>
      <c r="E816" s="1">
        <v>326120</v>
      </c>
      <c r="F816" s="2">
        <v>63192</v>
      </c>
    </row>
    <row r="817" spans="1:6" x14ac:dyDescent="0.35">
      <c r="A817">
        <v>2019</v>
      </c>
      <c r="B817" t="s">
        <v>57</v>
      </c>
      <c r="C817" t="s">
        <v>48</v>
      </c>
      <c r="D817" s="1">
        <v>4728</v>
      </c>
      <c r="E817" s="1">
        <v>19196</v>
      </c>
      <c r="F817" s="2">
        <v>56253</v>
      </c>
    </row>
    <row r="818" spans="1:6" x14ac:dyDescent="0.35">
      <c r="A818">
        <v>2019</v>
      </c>
      <c r="B818" t="s">
        <v>58</v>
      </c>
      <c r="C818" t="s">
        <v>1</v>
      </c>
      <c r="D818" s="1">
        <v>13692</v>
      </c>
      <c r="E818" s="1">
        <v>238078</v>
      </c>
      <c r="F818" s="2">
        <v>47785</v>
      </c>
    </row>
    <row r="819" spans="1:6" x14ac:dyDescent="0.35">
      <c r="A819">
        <v>2019</v>
      </c>
      <c r="B819" t="s">
        <v>58</v>
      </c>
      <c r="C819" t="s">
        <v>2</v>
      </c>
      <c r="D819" s="1">
        <v>19924</v>
      </c>
      <c r="E819" s="1">
        <v>457984</v>
      </c>
      <c r="F819" s="2">
        <v>52632</v>
      </c>
    </row>
    <row r="820" spans="1:6" x14ac:dyDescent="0.35">
      <c r="A820">
        <v>2019</v>
      </c>
      <c r="B820" t="s">
        <v>58</v>
      </c>
      <c r="C820" t="s">
        <v>3</v>
      </c>
      <c r="D820" s="1">
        <v>15780</v>
      </c>
      <c r="E820" s="1">
        <v>187607</v>
      </c>
      <c r="F820" s="2">
        <v>43983</v>
      </c>
    </row>
    <row r="821" spans="1:6" x14ac:dyDescent="0.35">
      <c r="A821">
        <v>2019</v>
      </c>
      <c r="B821" t="s">
        <v>58</v>
      </c>
      <c r="C821" t="s">
        <v>4</v>
      </c>
      <c r="D821" s="1">
        <v>639529</v>
      </c>
      <c r="E821" s="1">
        <v>2734574</v>
      </c>
      <c r="F821" s="2">
        <v>53909</v>
      </c>
    </row>
    <row r="822" spans="1:6" x14ac:dyDescent="0.35">
      <c r="A822">
        <v>2019</v>
      </c>
      <c r="B822" t="s">
        <v>58</v>
      </c>
      <c r="C822" t="s">
        <v>5</v>
      </c>
      <c r="D822" s="1">
        <v>21747</v>
      </c>
      <c r="E822" s="1">
        <v>341496</v>
      </c>
      <c r="F822" s="2">
        <v>51600</v>
      </c>
    </row>
    <row r="823" spans="1:6" x14ac:dyDescent="0.35">
      <c r="A823">
        <v>2019</v>
      </c>
      <c r="B823" t="s">
        <v>58</v>
      </c>
      <c r="C823" t="s">
        <v>6</v>
      </c>
      <c r="D823" s="1">
        <v>13478</v>
      </c>
      <c r="E823" s="1">
        <v>330418</v>
      </c>
      <c r="F823" s="2">
        <v>57419</v>
      </c>
    </row>
    <row r="824" spans="1:6" x14ac:dyDescent="0.35">
      <c r="A824">
        <v>2019</v>
      </c>
      <c r="B824" t="s">
        <v>58</v>
      </c>
      <c r="C824" t="s">
        <v>7</v>
      </c>
      <c r="D824" s="1">
        <v>5386</v>
      </c>
      <c r="E824" s="1">
        <v>76932</v>
      </c>
      <c r="F824" s="2">
        <v>55284</v>
      </c>
    </row>
    <row r="825" spans="1:6" x14ac:dyDescent="0.35">
      <c r="A825">
        <v>2019</v>
      </c>
      <c r="B825" t="s">
        <v>58</v>
      </c>
      <c r="C825" t="s">
        <v>8</v>
      </c>
      <c r="D825" s="1">
        <v>76615</v>
      </c>
      <c r="E825" s="1">
        <v>1324281</v>
      </c>
      <c r="F825" s="2">
        <v>52039</v>
      </c>
    </row>
    <row r="826" spans="1:6" x14ac:dyDescent="0.35">
      <c r="A826">
        <v>2019</v>
      </c>
      <c r="B826" t="s">
        <v>58</v>
      </c>
      <c r="C826" t="s">
        <v>9</v>
      </c>
      <c r="D826" s="1">
        <v>29998</v>
      </c>
      <c r="E826" s="1">
        <v>580134</v>
      </c>
      <c r="F826" s="2">
        <v>53810</v>
      </c>
    </row>
    <row r="827" spans="1:6" x14ac:dyDescent="0.35">
      <c r="A827">
        <v>2019</v>
      </c>
      <c r="B827" t="s">
        <v>58</v>
      </c>
      <c r="C827" t="s">
        <v>10</v>
      </c>
      <c r="D827" s="1">
        <v>8163</v>
      </c>
      <c r="E827" s="1">
        <v>105424</v>
      </c>
      <c r="F827" s="2">
        <v>43475</v>
      </c>
    </row>
    <row r="828" spans="1:6" x14ac:dyDescent="0.35">
      <c r="A828">
        <v>2019</v>
      </c>
      <c r="B828" t="s">
        <v>58</v>
      </c>
      <c r="C828" t="s">
        <v>11</v>
      </c>
      <c r="D828" s="1">
        <v>35102</v>
      </c>
      <c r="E828" s="1">
        <v>924699</v>
      </c>
      <c r="F828" s="2">
        <v>52038</v>
      </c>
    </row>
    <row r="829" spans="1:6" x14ac:dyDescent="0.35">
      <c r="A829">
        <v>2019</v>
      </c>
      <c r="B829" t="s">
        <v>58</v>
      </c>
      <c r="C829" t="s">
        <v>12</v>
      </c>
      <c r="D829" s="1">
        <v>16247</v>
      </c>
      <c r="E829" s="1">
        <v>468491</v>
      </c>
      <c r="F829" s="2">
        <v>49107</v>
      </c>
    </row>
    <row r="830" spans="1:6" x14ac:dyDescent="0.35">
      <c r="A830">
        <v>2019</v>
      </c>
      <c r="B830" t="s">
        <v>58</v>
      </c>
      <c r="C830" t="s">
        <v>13</v>
      </c>
      <c r="D830" s="1">
        <v>11966</v>
      </c>
      <c r="E830" s="1">
        <v>219013</v>
      </c>
      <c r="F830" s="2">
        <v>44392</v>
      </c>
    </row>
    <row r="831" spans="1:6" x14ac:dyDescent="0.35">
      <c r="A831">
        <v>2019</v>
      </c>
      <c r="B831" t="s">
        <v>58</v>
      </c>
      <c r="C831" t="s">
        <v>14</v>
      </c>
      <c r="D831" s="1">
        <v>10085</v>
      </c>
      <c r="E831" s="1">
        <v>197874</v>
      </c>
      <c r="F831" s="2">
        <v>43909</v>
      </c>
    </row>
    <row r="832" spans="1:6" x14ac:dyDescent="0.35">
      <c r="A832">
        <v>2019</v>
      </c>
      <c r="B832" t="s">
        <v>58</v>
      </c>
      <c r="C832" t="s">
        <v>15</v>
      </c>
      <c r="D832" s="1">
        <v>18442</v>
      </c>
      <c r="E832" s="1">
        <v>272579</v>
      </c>
      <c r="F832" s="2">
        <v>49141</v>
      </c>
    </row>
    <row r="833" spans="1:6" x14ac:dyDescent="0.35">
      <c r="A833">
        <v>2019</v>
      </c>
      <c r="B833" t="s">
        <v>58</v>
      </c>
      <c r="C833" t="s">
        <v>16</v>
      </c>
      <c r="D833" s="1">
        <v>16110</v>
      </c>
      <c r="E833" s="1">
        <v>305742</v>
      </c>
      <c r="F833" s="2">
        <v>44832</v>
      </c>
    </row>
    <row r="834" spans="1:6" x14ac:dyDescent="0.35">
      <c r="A834">
        <v>2019</v>
      </c>
      <c r="B834" t="s">
        <v>58</v>
      </c>
      <c r="C834" t="s">
        <v>17</v>
      </c>
      <c r="D834" s="1">
        <v>5474</v>
      </c>
      <c r="E834" s="1">
        <v>120085</v>
      </c>
      <c r="F834" s="2">
        <v>49342</v>
      </c>
    </row>
    <row r="835" spans="1:6" x14ac:dyDescent="0.35">
      <c r="A835">
        <v>2019</v>
      </c>
      <c r="B835" t="s">
        <v>58</v>
      </c>
      <c r="C835" t="s">
        <v>18</v>
      </c>
      <c r="D835" s="1">
        <v>21419</v>
      </c>
      <c r="E835" s="1">
        <v>451332</v>
      </c>
      <c r="F835" s="2">
        <v>55476</v>
      </c>
    </row>
    <row r="836" spans="1:6" x14ac:dyDescent="0.35">
      <c r="A836">
        <v>2019</v>
      </c>
      <c r="B836" t="s">
        <v>58</v>
      </c>
      <c r="C836" t="s">
        <v>19</v>
      </c>
      <c r="D836" s="1">
        <v>68761</v>
      </c>
      <c r="E836" s="1">
        <v>790552</v>
      </c>
      <c r="F836" s="2">
        <v>59886</v>
      </c>
    </row>
    <row r="837" spans="1:6" x14ac:dyDescent="0.35">
      <c r="A837">
        <v>2019</v>
      </c>
      <c r="B837" t="s">
        <v>58</v>
      </c>
      <c r="C837" t="s">
        <v>20</v>
      </c>
      <c r="D837" s="1">
        <v>25357</v>
      </c>
      <c r="E837" s="1">
        <v>661203</v>
      </c>
      <c r="F837" s="2">
        <v>50845</v>
      </c>
    </row>
    <row r="838" spans="1:6" x14ac:dyDescent="0.35">
      <c r="A838">
        <v>2019</v>
      </c>
      <c r="B838" t="s">
        <v>58</v>
      </c>
      <c r="C838" t="s">
        <v>21</v>
      </c>
      <c r="D838" s="1">
        <v>20728</v>
      </c>
      <c r="E838" s="1">
        <v>530749</v>
      </c>
      <c r="F838" s="2">
        <v>52656</v>
      </c>
    </row>
    <row r="839" spans="1:6" x14ac:dyDescent="0.35">
      <c r="A839">
        <v>2019</v>
      </c>
      <c r="B839" t="s">
        <v>58</v>
      </c>
      <c r="C839" t="s">
        <v>22</v>
      </c>
      <c r="D839" s="1">
        <v>7557</v>
      </c>
      <c r="E839" s="1">
        <v>146077</v>
      </c>
      <c r="F839" s="2">
        <v>42620</v>
      </c>
    </row>
    <row r="840" spans="1:6" x14ac:dyDescent="0.35">
      <c r="A840">
        <v>2019</v>
      </c>
      <c r="B840" t="s">
        <v>58</v>
      </c>
      <c r="C840" t="s">
        <v>23</v>
      </c>
      <c r="D840" s="1">
        <v>52078</v>
      </c>
      <c r="E840" s="1">
        <v>462462</v>
      </c>
      <c r="F840" s="2">
        <v>47562</v>
      </c>
    </row>
    <row r="841" spans="1:6" x14ac:dyDescent="0.35">
      <c r="A841">
        <v>2019</v>
      </c>
      <c r="B841" t="s">
        <v>58</v>
      </c>
      <c r="C841" t="s">
        <v>24</v>
      </c>
      <c r="D841" s="1">
        <v>4834</v>
      </c>
      <c r="E841" s="1">
        <v>74646</v>
      </c>
      <c r="F841" s="2">
        <v>49258</v>
      </c>
    </row>
    <row r="842" spans="1:6" x14ac:dyDescent="0.35">
      <c r="A842">
        <v>2019</v>
      </c>
      <c r="B842" t="s">
        <v>58</v>
      </c>
      <c r="C842" t="s">
        <v>25</v>
      </c>
      <c r="D842" s="1">
        <v>11559</v>
      </c>
      <c r="E842" s="1">
        <v>139275</v>
      </c>
      <c r="F842" s="2">
        <v>48735</v>
      </c>
    </row>
    <row r="843" spans="1:6" x14ac:dyDescent="0.35">
      <c r="A843">
        <v>2019</v>
      </c>
      <c r="B843" t="s">
        <v>58</v>
      </c>
      <c r="C843" t="s">
        <v>26</v>
      </c>
      <c r="D843" s="1">
        <v>8934</v>
      </c>
      <c r="E843" s="1">
        <v>143417</v>
      </c>
      <c r="F843" s="2">
        <v>54808</v>
      </c>
    </row>
    <row r="844" spans="1:6" x14ac:dyDescent="0.35">
      <c r="A844">
        <v>2019</v>
      </c>
      <c r="B844" t="s">
        <v>58</v>
      </c>
      <c r="C844" t="s">
        <v>27</v>
      </c>
      <c r="D844" s="1">
        <v>4773</v>
      </c>
      <c r="E844" s="1">
        <v>114430</v>
      </c>
      <c r="F844" s="2">
        <v>58363</v>
      </c>
    </row>
    <row r="845" spans="1:6" x14ac:dyDescent="0.35">
      <c r="A845">
        <v>2019</v>
      </c>
      <c r="B845" t="s">
        <v>58</v>
      </c>
      <c r="C845" t="s">
        <v>28</v>
      </c>
      <c r="D845" s="1">
        <v>40687</v>
      </c>
      <c r="E845" s="1">
        <v>670070</v>
      </c>
      <c r="F845" s="2">
        <v>55124</v>
      </c>
    </row>
    <row r="846" spans="1:6" x14ac:dyDescent="0.35">
      <c r="A846">
        <v>2019</v>
      </c>
      <c r="B846" t="s">
        <v>58</v>
      </c>
      <c r="C846" t="s">
        <v>29</v>
      </c>
      <c r="D846" s="1">
        <v>10974</v>
      </c>
      <c r="E846" s="1">
        <v>130181</v>
      </c>
      <c r="F846" s="2">
        <v>42852</v>
      </c>
    </row>
    <row r="847" spans="1:6" x14ac:dyDescent="0.35">
      <c r="A847">
        <v>2019</v>
      </c>
      <c r="B847" t="s">
        <v>58</v>
      </c>
      <c r="C847" t="s">
        <v>30</v>
      </c>
      <c r="D847" s="1">
        <v>67202</v>
      </c>
      <c r="E847" s="1">
        <v>1981493</v>
      </c>
      <c r="F847" s="2">
        <v>54638</v>
      </c>
    </row>
    <row r="848" spans="1:6" x14ac:dyDescent="0.35">
      <c r="A848">
        <v>2019</v>
      </c>
      <c r="B848" t="s">
        <v>58</v>
      </c>
      <c r="C848" t="s">
        <v>31</v>
      </c>
      <c r="D848" s="1">
        <v>28199</v>
      </c>
      <c r="E848" s="1">
        <v>606564</v>
      </c>
      <c r="F848" s="2">
        <v>50123</v>
      </c>
    </row>
    <row r="849" spans="1:6" x14ac:dyDescent="0.35">
      <c r="A849">
        <v>2019</v>
      </c>
      <c r="B849" t="s">
        <v>58</v>
      </c>
      <c r="C849" t="s">
        <v>32</v>
      </c>
      <c r="D849" s="1">
        <v>2581</v>
      </c>
      <c r="E849" s="1">
        <v>65771</v>
      </c>
      <c r="F849" s="2">
        <v>52585</v>
      </c>
    </row>
    <row r="850" spans="1:6" x14ac:dyDescent="0.35">
      <c r="A850">
        <v>2019</v>
      </c>
      <c r="B850" t="s">
        <v>58</v>
      </c>
      <c r="C850" t="s">
        <v>33</v>
      </c>
      <c r="D850" s="1">
        <v>35525</v>
      </c>
      <c r="E850" s="1">
        <v>908891</v>
      </c>
      <c r="F850" s="2">
        <v>47891</v>
      </c>
    </row>
    <row r="851" spans="1:6" x14ac:dyDescent="0.35">
      <c r="A851">
        <v>2019</v>
      </c>
      <c r="B851" t="s">
        <v>58</v>
      </c>
      <c r="C851" t="s">
        <v>34</v>
      </c>
      <c r="D851" s="1">
        <v>13345</v>
      </c>
      <c r="E851" s="1">
        <v>213244</v>
      </c>
      <c r="F851" s="2">
        <v>46841</v>
      </c>
    </row>
    <row r="852" spans="1:6" x14ac:dyDescent="0.35">
      <c r="A852">
        <v>2019</v>
      </c>
      <c r="B852" t="s">
        <v>58</v>
      </c>
      <c r="C852" t="s">
        <v>35</v>
      </c>
      <c r="D852" s="1">
        <v>16113</v>
      </c>
      <c r="E852" s="1">
        <v>295311</v>
      </c>
      <c r="F852" s="2">
        <v>51842</v>
      </c>
    </row>
    <row r="853" spans="1:6" x14ac:dyDescent="0.35">
      <c r="A853">
        <v>2019</v>
      </c>
      <c r="B853" t="s">
        <v>58</v>
      </c>
      <c r="C853" t="s">
        <v>36</v>
      </c>
      <c r="D853" s="1">
        <v>57945</v>
      </c>
      <c r="E853" s="1">
        <v>1230922</v>
      </c>
      <c r="F853" s="2">
        <v>53416</v>
      </c>
    </row>
    <row r="854" spans="1:6" x14ac:dyDescent="0.35">
      <c r="A854">
        <v>2019</v>
      </c>
      <c r="B854" t="s">
        <v>58</v>
      </c>
      <c r="C854" t="s">
        <v>37</v>
      </c>
      <c r="D854" s="1">
        <v>4664</v>
      </c>
      <c r="E854" s="1">
        <v>102395</v>
      </c>
      <c r="F854" s="2">
        <v>50458</v>
      </c>
    </row>
    <row r="855" spans="1:6" x14ac:dyDescent="0.35">
      <c r="A855">
        <v>2019</v>
      </c>
      <c r="B855" t="s">
        <v>58</v>
      </c>
      <c r="C855" t="s">
        <v>38</v>
      </c>
      <c r="D855" s="1">
        <v>12757</v>
      </c>
      <c r="E855" s="1">
        <v>237600</v>
      </c>
      <c r="F855" s="2">
        <v>47296</v>
      </c>
    </row>
    <row r="856" spans="1:6" x14ac:dyDescent="0.35">
      <c r="A856">
        <v>2019</v>
      </c>
      <c r="B856" t="s">
        <v>58</v>
      </c>
      <c r="C856" t="s">
        <v>39</v>
      </c>
      <c r="D856" s="1">
        <v>2904</v>
      </c>
      <c r="E856" s="1">
        <v>68913</v>
      </c>
      <c r="F856" s="2">
        <v>52412</v>
      </c>
    </row>
    <row r="857" spans="1:6" x14ac:dyDescent="0.35">
      <c r="A857">
        <v>2019</v>
      </c>
      <c r="B857" t="s">
        <v>58</v>
      </c>
      <c r="C857" t="s">
        <v>40</v>
      </c>
      <c r="D857" s="1">
        <v>16563</v>
      </c>
      <c r="E857" s="1">
        <v>427328</v>
      </c>
      <c r="F857" s="2">
        <v>53183</v>
      </c>
    </row>
    <row r="858" spans="1:6" x14ac:dyDescent="0.35">
      <c r="A858">
        <v>2019</v>
      </c>
      <c r="B858" t="s">
        <v>58</v>
      </c>
      <c r="C858" t="s">
        <v>41</v>
      </c>
      <c r="D858" s="1">
        <v>94237</v>
      </c>
      <c r="E858" s="1">
        <v>1684606</v>
      </c>
      <c r="F858" s="2">
        <v>49322</v>
      </c>
    </row>
    <row r="859" spans="1:6" x14ac:dyDescent="0.35">
      <c r="A859">
        <v>2019</v>
      </c>
      <c r="B859" t="s">
        <v>58</v>
      </c>
      <c r="C859" t="s">
        <v>42</v>
      </c>
      <c r="D859" s="1">
        <v>12857</v>
      </c>
      <c r="E859" s="1">
        <v>193373</v>
      </c>
      <c r="F859" s="2">
        <v>44983</v>
      </c>
    </row>
    <row r="860" spans="1:6" x14ac:dyDescent="0.35">
      <c r="A860">
        <v>2019</v>
      </c>
      <c r="B860" t="s">
        <v>58</v>
      </c>
      <c r="C860" t="s">
        <v>43</v>
      </c>
      <c r="D860" s="1">
        <v>2503</v>
      </c>
      <c r="E860" s="1">
        <v>62317</v>
      </c>
      <c r="F860" s="2">
        <v>48501</v>
      </c>
    </row>
    <row r="861" spans="1:6" x14ac:dyDescent="0.35">
      <c r="A861">
        <v>2019</v>
      </c>
      <c r="B861" t="s">
        <v>58</v>
      </c>
      <c r="C861" t="s">
        <v>44</v>
      </c>
      <c r="D861" s="1">
        <v>50144</v>
      </c>
      <c r="E861" s="1">
        <v>517645</v>
      </c>
      <c r="F861" s="2">
        <v>50876</v>
      </c>
    </row>
    <row r="862" spans="1:6" x14ac:dyDescent="0.35">
      <c r="A862">
        <v>2019</v>
      </c>
      <c r="B862" t="s">
        <v>58</v>
      </c>
      <c r="C862" t="s">
        <v>45</v>
      </c>
      <c r="D862" s="1">
        <v>64023</v>
      </c>
      <c r="E862" s="1">
        <v>478274</v>
      </c>
      <c r="F862" s="2">
        <v>53267</v>
      </c>
    </row>
    <row r="863" spans="1:6" x14ac:dyDescent="0.35">
      <c r="A863">
        <v>2019</v>
      </c>
      <c r="B863" t="s">
        <v>58</v>
      </c>
      <c r="C863" t="s">
        <v>46</v>
      </c>
      <c r="D863" s="1">
        <v>5755</v>
      </c>
      <c r="E863" s="1">
        <v>125528</v>
      </c>
      <c r="F863" s="2">
        <v>47876</v>
      </c>
    </row>
    <row r="864" spans="1:6" x14ac:dyDescent="0.35">
      <c r="A864">
        <v>2019</v>
      </c>
      <c r="B864" t="s">
        <v>58</v>
      </c>
      <c r="C864" t="s">
        <v>47</v>
      </c>
      <c r="D864" s="1">
        <v>29257</v>
      </c>
      <c r="E864" s="1">
        <v>440255</v>
      </c>
      <c r="F864" s="2">
        <v>50951</v>
      </c>
    </row>
    <row r="865" spans="1:6" x14ac:dyDescent="0.35">
      <c r="A865">
        <v>2019</v>
      </c>
      <c r="B865" t="s">
        <v>58</v>
      </c>
      <c r="C865" t="s">
        <v>48</v>
      </c>
      <c r="D865" s="1">
        <v>3384</v>
      </c>
      <c r="E865" s="1">
        <v>27323</v>
      </c>
      <c r="F865" s="2">
        <v>44083</v>
      </c>
    </row>
    <row r="866" spans="1:6" x14ac:dyDescent="0.35">
      <c r="A866">
        <v>2019</v>
      </c>
      <c r="B866" t="s">
        <v>59</v>
      </c>
      <c r="C866" t="s">
        <v>1</v>
      </c>
      <c r="D866" s="1">
        <v>11180</v>
      </c>
      <c r="E866" s="1">
        <v>208446</v>
      </c>
      <c r="F866" s="2">
        <v>17618</v>
      </c>
    </row>
    <row r="867" spans="1:6" x14ac:dyDescent="0.35">
      <c r="A867">
        <v>2019</v>
      </c>
      <c r="B867" t="s">
        <v>59</v>
      </c>
      <c r="C867" t="s">
        <v>2</v>
      </c>
      <c r="D867" s="1">
        <v>14256</v>
      </c>
      <c r="E867" s="1">
        <v>331295</v>
      </c>
      <c r="F867" s="2">
        <v>25557</v>
      </c>
    </row>
    <row r="868" spans="1:6" x14ac:dyDescent="0.35">
      <c r="A868">
        <v>2019</v>
      </c>
      <c r="B868" t="s">
        <v>59</v>
      </c>
      <c r="C868" t="s">
        <v>3</v>
      </c>
      <c r="D868" s="1">
        <v>7315</v>
      </c>
      <c r="E868" s="1">
        <v>120644</v>
      </c>
      <c r="F868" s="2">
        <v>17299</v>
      </c>
    </row>
    <row r="869" spans="1:6" x14ac:dyDescent="0.35">
      <c r="A869">
        <v>2019</v>
      </c>
      <c r="B869" t="s">
        <v>59</v>
      </c>
      <c r="C869" t="s">
        <v>4</v>
      </c>
      <c r="D869" s="1">
        <v>116191</v>
      </c>
      <c r="E869" s="1">
        <v>2034920</v>
      </c>
      <c r="F869" s="2">
        <v>32379</v>
      </c>
    </row>
    <row r="870" spans="1:6" x14ac:dyDescent="0.35">
      <c r="A870">
        <v>2019</v>
      </c>
      <c r="B870" t="s">
        <v>59</v>
      </c>
      <c r="C870" t="s">
        <v>5</v>
      </c>
      <c r="D870" s="1">
        <v>17317</v>
      </c>
      <c r="E870" s="1">
        <v>344935</v>
      </c>
      <c r="F870" s="2">
        <v>27131</v>
      </c>
    </row>
    <row r="871" spans="1:6" x14ac:dyDescent="0.35">
      <c r="A871">
        <v>2019</v>
      </c>
      <c r="B871" t="s">
        <v>59</v>
      </c>
      <c r="C871" t="s">
        <v>6</v>
      </c>
      <c r="D871" s="1">
        <v>10917</v>
      </c>
      <c r="E871" s="1">
        <v>157574</v>
      </c>
      <c r="F871" s="2">
        <v>24451</v>
      </c>
    </row>
    <row r="872" spans="1:6" x14ac:dyDescent="0.35">
      <c r="A872">
        <v>2019</v>
      </c>
      <c r="B872" t="s">
        <v>59</v>
      </c>
      <c r="C872" t="s">
        <v>7</v>
      </c>
      <c r="D872" s="1">
        <v>2710</v>
      </c>
      <c r="E872" s="1">
        <v>53038</v>
      </c>
      <c r="F872" s="2">
        <v>21264</v>
      </c>
    </row>
    <row r="873" spans="1:6" x14ac:dyDescent="0.35">
      <c r="A873">
        <v>2019</v>
      </c>
      <c r="B873" t="s">
        <v>59</v>
      </c>
      <c r="C873" t="s">
        <v>8</v>
      </c>
      <c r="D873" s="1">
        <v>58596</v>
      </c>
      <c r="E873" s="1">
        <v>1257201</v>
      </c>
      <c r="F873" s="2">
        <v>26675</v>
      </c>
    </row>
    <row r="874" spans="1:6" x14ac:dyDescent="0.35">
      <c r="A874">
        <v>2019</v>
      </c>
      <c r="B874" t="s">
        <v>59</v>
      </c>
      <c r="C874" t="s">
        <v>9</v>
      </c>
      <c r="D874" s="1">
        <v>25254</v>
      </c>
      <c r="E874" s="1">
        <v>498529</v>
      </c>
      <c r="F874" s="2">
        <v>21342</v>
      </c>
    </row>
    <row r="875" spans="1:6" x14ac:dyDescent="0.35">
      <c r="A875">
        <v>2019</v>
      </c>
      <c r="B875" t="s">
        <v>59</v>
      </c>
      <c r="C875" t="s">
        <v>10</v>
      </c>
      <c r="D875" s="1">
        <v>5038</v>
      </c>
      <c r="E875" s="1">
        <v>82521</v>
      </c>
      <c r="F875" s="2">
        <v>17770</v>
      </c>
    </row>
    <row r="876" spans="1:6" x14ac:dyDescent="0.35">
      <c r="A876">
        <v>2019</v>
      </c>
      <c r="B876" t="s">
        <v>59</v>
      </c>
      <c r="C876" t="s">
        <v>11</v>
      </c>
      <c r="D876" s="1">
        <v>33183</v>
      </c>
      <c r="E876" s="1">
        <v>622987</v>
      </c>
      <c r="F876" s="2">
        <v>24703</v>
      </c>
    </row>
    <row r="877" spans="1:6" x14ac:dyDescent="0.35">
      <c r="A877">
        <v>2019</v>
      </c>
      <c r="B877" t="s">
        <v>59</v>
      </c>
      <c r="C877" t="s">
        <v>12</v>
      </c>
      <c r="D877" s="1">
        <v>15776</v>
      </c>
      <c r="E877" s="1">
        <v>313889</v>
      </c>
      <c r="F877" s="2">
        <v>19660</v>
      </c>
    </row>
    <row r="878" spans="1:6" x14ac:dyDescent="0.35">
      <c r="A878">
        <v>2019</v>
      </c>
      <c r="B878" t="s">
        <v>59</v>
      </c>
      <c r="C878" t="s">
        <v>13</v>
      </c>
      <c r="D878" s="1">
        <v>8796</v>
      </c>
      <c r="E878" s="1">
        <v>144265</v>
      </c>
      <c r="F878" s="2">
        <v>17261</v>
      </c>
    </row>
    <row r="879" spans="1:6" x14ac:dyDescent="0.35">
      <c r="A879">
        <v>2019</v>
      </c>
      <c r="B879" t="s">
        <v>59</v>
      </c>
      <c r="C879" t="s">
        <v>14</v>
      </c>
      <c r="D879" s="1">
        <v>6871</v>
      </c>
      <c r="E879" s="1">
        <v>130101</v>
      </c>
      <c r="F879" s="2">
        <v>17333</v>
      </c>
    </row>
    <row r="880" spans="1:6" x14ac:dyDescent="0.35">
      <c r="A880">
        <v>2019</v>
      </c>
      <c r="B880" t="s">
        <v>59</v>
      </c>
      <c r="C880" t="s">
        <v>15</v>
      </c>
      <c r="D880" s="1">
        <v>10118</v>
      </c>
      <c r="E880" s="1">
        <v>201748</v>
      </c>
      <c r="F880" s="2">
        <v>18350</v>
      </c>
    </row>
    <row r="881" spans="1:6" x14ac:dyDescent="0.35">
      <c r="A881">
        <v>2019</v>
      </c>
      <c r="B881" t="s">
        <v>59</v>
      </c>
      <c r="C881" t="s">
        <v>16</v>
      </c>
      <c r="D881" s="1">
        <v>12912</v>
      </c>
      <c r="E881" s="1">
        <v>237469</v>
      </c>
      <c r="F881" s="2">
        <v>21789</v>
      </c>
    </row>
    <row r="882" spans="1:6" x14ac:dyDescent="0.35">
      <c r="A882">
        <v>2019</v>
      </c>
      <c r="B882" t="s">
        <v>59</v>
      </c>
      <c r="C882" t="s">
        <v>17</v>
      </c>
      <c r="D882" s="1">
        <v>5132</v>
      </c>
      <c r="E882" s="1">
        <v>69501</v>
      </c>
      <c r="F882" s="2">
        <v>23169</v>
      </c>
    </row>
    <row r="883" spans="1:6" x14ac:dyDescent="0.35">
      <c r="A883">
        <v>2019</v>
      </c>
      <c r="B883" t="s">
        <v>59</v>
      </c>
      <c r="C883" t="s">
        <v>18</v>
      </c>
      <c r="D883" s="1">
        <v>15043</v>
      </c>
      <c r="E883" s="1">
        <v>282746</v>
      </c>
      <c r="F883" s="2">
        <v>24758</v>
      </c>
    </row>
    <row r="884" spans="1:6" x14ac:dyDescent="0.35">
      <c r="A884">
        <v>2019</v>
      </c>
      <c r="B884" t="s">
        <v>59</v>
      </c>
      <c r="C884" t="s">
        <v>19</v>
      </c>
      <c r="D884" s="1">
        <v>20740</v>
      </c>
      <c r="E884" s="1">
        <v>379863</v>
      </c>
      <c r="F884" s="2">
        <v>29500</v>
      </c>
    </row>
    <row r="885" spans="1:6" x14ac:dyDescent="0.35">
      <c r="A885">
        <v>2019</v>
      </c>
      <c r="B885" t="s">
        <v>59</v>
      </c>
      <c r="C885" t="s">
        <v>20</v>
      </c>
      <c r="D885" s="1">
        <v>23113</v>
      </c>
      <c r="E885" s="1">
        <v>434299</v>
      </c>
      <c r="F885" s="2">
        <v>21121</v>
      </c>
    </row>
    <row r="886" spans="1:6" x14ac:dyDescent="0.35">
      <c r="A886">
        <v>2019</v>
      </c>
      <c r="B886" t="s">
        <v>59</v>
      </c>
      <c r="C886" t="s">
        <v>21</v>
      </c>
      <c r="D886" s="1">
        <v>15325</v>
      </c>
      <c r="E886" s="1">
        <v>275608</v>
      </c>
      <c r="F886" s="2">
        <v>23261</v>
      </c>
    </row>
    <row r="887" spans="1:6" x14ac:dyDescent="0.35">
      <c r="A887">
        <v>2019</v>
      </c>
      <c r="B887" t="s">
        <v>59</v>
      </c>
      <c r="C887" t="s">
        <v>22</v>
      </c>
      <c r="D887" s="1">
        <v>6514</v>
      </c>
      <c r="E887" s="1">
        <v>136282</v>
      </c>
      <c r="F887" s="2">
        <v>17817</v>
      </c>
    </row>
    <row r="888" spans="1:6" x14ac:dyDescent="0.35">
      <c r="A888">
        <v>2019</v>
      </c>
      <c r="B888" t="s">
        <v>59</v>
      </c>
      <c r="C888" t="s">
        <v>23</v>
      </c>
      <c r="D888" s="1">
        <v>15195</v>
      </c>
      <c r="E888" s="1">
        <v>308646</v>
      </c>
      <c r="F888" s="2">
        <v>21614</v>
      </c>
    </row>
    <row r="889" spans="1:6" x14ac:dyDescent="0.35">
      <c r="A889">
        <v>2019</v>
      </c>
      <c r="B889" t="s">
        <v>59</v>
      </c>
      <c r="C889" t="s">
        <v>24</v>
      </c>
      <c r="D889" s="1">
        <v>5052</v>
      </c>
      <c r="E889" s="1">
        <v>67008</v>
      </c>
      <c r="F889" s="2">
        <v>19955</v>
      </c>
    </row>
    <row r="890" spans="1:6" x14ac:dyDescent="0.35">
      <c r="A890">
        <v>2019</v>
      </c>
      <c r="B890" t="s">
        <v>59</v>
      </c>
      <c r="C890" t="s">
        <v>25</v>
      </c>
      <c r="D890" s="1">
        <v>5609</v>
      </c>
      <c r="E890" s="1">
        <v>93856</v>
      </c>
      <c r="F890" s="2">
        <v>17213</v>
      </c>
    </row>
    <row r="891" spans="1:6" x14ac:dyDescent="0.35">
      <c r="A891">
        <v>2019</v>
      </c>
      <c r="B891" t="s">
        <v>59</v>
      </c>
      <c r="C891" t="s">
        <v>26</v>
      </c>
      <c r="D891" s="1">
        <v>8716</v>
      </c>
      <c r="E891" s="1">
        <v>355178</v>
      </c>
      <c r="F891" s="2">
        <v>34432</v>
      </c>
    </row>
    <row r="892" spans="1:6" x14ac:dyDescent="0.35">
      <c r="A892">
        <v>2019</v>
      </c>
      <c r="B892" t="s">
        <v>59</v>
      </c>
      <c r="C892" t="s">
        <v>27</v>
      </c>
      <c r="D892" s="1">
        <v>4675</v>
      </c>
      <c r="E892" s="1">
        <v>73214</v>
      </c>
      <c r="F892" s="2">
        <v>22783</v>
      </c>
    </row>
    <row r="893" spans="1:6" x14ac:dyDescent="0.35">
      <c r="A893">
        <v>2019</v>
      </c>
      <c r="B893" t="s">
        <v>59</v>
      </c>
      <c r="C893" t="s">
        <v>28</v>
      </c>
      <c r="D893" s="1">
        <v>24526</v>
      </c>
      <c r="E893" s="1">
        <v>391519</v>
      </c>
      <c r="F893" s="2">
        <v>26347</v>
      </c>
    </row>
    <row r="894" spans="1:6" x14ac:dyDescent="0.35">
      <c r="A894">
        <v>2019</v>
      </c>
      <c r="B894" t="s">
        <v>59</v>
      </c>
      <c r="C894" t="s">
        <v>29</v>
      </c>
      <c r="D894" s="1">
        <v>5277</v>
      </c>
      <c r="E894" s="1">
        <v>99656</v>
      </c>
      <c r="F894" s="2">
        <v>19571</v>
      </c>
    </row>
    <row r="895" spans="1:6" x14ac:dyDescent="0.35">
      <c r="A895">
        <v>2019</v>
      </c>
      <c r="B895" t="s">
        <v>59</v>
      </c>
      <c r="C895" t="s">
        <v>30</v>
      </c>
      <c r="D895" s="1">
        <v>65868</v>
      </c>
      <c r="E895" s="1">
        <v>957897</v>
      </c>
      <c r="F895" s="2">
        <v>35828</v>
      </c>
    </row>
    <row r="896" spans="1:6" x14ac:dyDescent="0.35">
      <c r="A896">
        <v>2019</v>
      </c>
      <c r="B896" t="s">
        <v>59</v>
      </c>
      <c r="C896" t="s">
        <v>31</v>
      </c>
      <c r="D896" s="1">
        <v>26474</v>
      </c>
      <c r="E896" s="1">
        <v>515152</v>
      </c>
      <c r="F896" s="2">
        <v>20460</v>
      </c>
    </row>
    <row r="897" spans="1:6" x14ac:dyDescent="0.35">
      <c r="A897">
        <v>2019</v>
      </c>
      <c r="B897" t="s">
        <v>59</v>
      </c>
      <c r="C897" t="s">
        <v>32</v>
      </c>
      <c r="D897" s="1">
        <v>2610</v>
      </c>
      <c r="E897" s="1">
        <v>40423</v>
      </c>
      <c r="F897" s="2">
        <v>18573</v>
      </c>
    </row>
    <row r="898" spans="1:6" x14ac:dyDescent="0.35">
      <c r="A898">
        <v>2019</v>
      </c>
      <c r="B898" t="s">
        <v>59</v>
      </c>
      <c r="C898" t="s">
        <v>33</v>
      </c>
      <c r="D898" s="1">
        <v>29035</v>
      </c>
      <c r="E898" s="1">
        <v>570254</v>
      </c>
      <c r="F898" s="2">
        <v>20197</v>
      </c>
    </row>
    <row r="899" spans="1:6" x14ac:dyDescent="0.35">
      <c r="A899">
        <v>2019</v>
      </c>
      <c r="B899" t="s">
        <v>59</v>
      </c>
      <c r="C899" t="s">
        <v>34</v>
      </c>
      <c r="D899" s="1">
        <v>9209</v>
      </c>
      <c r="E899" s="1">
        <v>174213</v>
      </c>
      <c r="F899" s="2">
        <v>18600</v>
      </c>
    </row>
    <row r="900" spans="1:6" x14ac:dyDescent="0.35">
      <c r="A900">
        <v>2019</v>
      </c>
      <c r="B900" t="s">
        <v>59</v>
      </c>
      <c r="C900" t="s">
        <v>35</v>
      </c>
      <c r="D900" s="1">
        <v>14116</v>
      </c>
      <c r="E900" s="1">
        <v>213454</v>
      </c>
      <c r="F900" s="2">
        <v>23818</v>
      </c>
    </row>
    <row r="901" spans="1:6" x14ac:dyDescent="0.35">
      <c r="A901">
        <v>2019</v>
      </c>
      <c r="B901" t="s">
        <v>59</v>
      </c>
      <c r="C901" t="s">
        <v>36</v>
      </c>
      <c r="D901" s="1">
        <v>33729</v>
      </c>
      <c r="E901" s="1">
        <v>577911</v>
      </c>
      <c r="F901" s="2">
        <v>22011</v>
      </c>
    </row>
    <row r="902" spans="1:6" x14ac:dyDescent="0.35">
      <c r="A902">
        <v>2019</v>
      </c>
      <c r="B902" t="s">
        <v>59</v>
      </c>
      <c r="C902" t="s">
        <v>37</v>
      </c>
      <c r="D902" s="1">
        <v>3873</v>
      </c>
      <c r="E902" s="1">
        <v>60008</v>
      </c>
      <c r="F902" s="2">
        <v>23680</v>
      </c>
    </row>
    <row r="903" spans="1:6" x14ac:dyDescent="0.35">
      <c r="A903">
        <v>2019</v>
      </c>
      <c r="B903" t="s">
        <v>59</v>
      </c>
      <c r="C903" t="s">
        <v>38</v>
      </c>
      <c r="D903" s="1">
        <v>13400</v>
      </c>
      <c r="E903" s="1">
        <v>270473</v>
      </c>
      <c r="F903" s="2">
        <v>18816</v>
      </c>
    </row>
    <row r="904" spans="1:6" x14ac:dyDescent="0.35">
      <c r="A904">
        <v>2019</v>
      </c>
      <c r="B904" t="s">
        <v>59</v>
      </c>
      <c r="C904" t="s">
        <v>39</v>
      </c>
      <c r="D904" s="1">
        <v>3191</v>
      </c>
      <c r="E904" s="1">
        <v>47413</v>
      </c>
      <c r="F904" s="2">
        <v>17519</v>
      </c>
    </row>
    <row r="905" spans="1:6" x14ac:dyDescent="0.35">
      <c r="A905">
        <v>2019</v>
      </c>
      <c r="B905" t="s">
        <v>59</v>
      </c>
      <c r="C905" t="s">
        <v>40</v>
      </c>
      <c r="D905" s="1">
        <v>16924</v>
      </c>
      <c r="E905" s="1">
        <v>347181</v>
      </c>
      <c r="F905" s="2">
        <v>23878</v>
      </c>
    </row>
    <row r="906" spans="1:6" x14ac:dyDescent="0.35">
      <c r="A906">
        <v>2019</v>
      </c>
      <c r="B906" t="s">
        <v>59</v>
      </c>
      <c r="C906" t="s">
        <v>41</v>
      </c>
      <c r="D906" s="1">
        <v>65057</v>
      </c>
      <c r="E906" s="1">
        <v>1394036</v>
      </c>
      <c r="F906" s="2">
        <v>22762</v>
      </c>
    </row>
    <row r="907" spans="1:6" x14ac:dyDescent="0.35">
      <c r="A907">
        <v>2019</v>
      </c>
      <c r="B907" t="s">
        <v>59</v>
      </c>
      <c r="C907" t="s">
        <v>42</v>
      </c>
      <c r="D907" s="1">
        <v>7570</v>
      </c>
      <c r="E907" s="1">
        <v>153412</v>
      </c>
      <c r="F907" s="2">
        <v>20955</v>
      </c>
    </row>
    <row r="908" spans="1:6" x14ac:dyDescent="0.35">
      <c r="A908">
        <v>2019</v>
      </c>
      <c r="B908" t="s">
        <v>59</v>
      </c>
      <c r="C908" t="s">
        <v>43</v>
      </c>
      <c r="D908" s="1">
        <v>2268</v>
      </c>
      <c r="E908" s="1">
        <v>37208</v>
      </c>
      <c r="F908" s="2">
        <v>23863</v>
      </c>
    </row>
    <row r="909" spans="1:6" x14ac:dyDescent="0.35">
      <c r="A909">
        <v>2019</v>
      </c>
      <c r="B909" t="s">
        <v>59</v>
      </c>
      <c r="C909" t="s">
        <v>44</v>
      </c>
      <c r="D909" s="1">
        <v>20743</v>
      </c>
      <c r="E909" s="1">
        <v>408354</v>
      </c>
      <c r="F909" s="2">
        <v>21582</v>
      </c>
    </row>
    <row r="910" spans="1:6" x14ac:dyDescent="0.35">
      <c r="A910">
        <v>2019</v>
      </c>
      <c r="B910" t="s">
        <v>59</v>
      </c>
      <c r="C910" t="s">
        <v>45</v>
      </c>
      <c r="D910" s="1">
        <v>20637</v>
      </c>
      <c r="E910" s="1">
        <v>341265</v>
      </c>
      <c r="F910" s="2">
        <v>26566</v>
      </c>
    </row>
    <row r="911" spans="1:6" x14ac:dyDescent="0.35">
      <c r="A911">
        <v>2019</v>
      </c>
      <c r="B911" t="s">
        <v>59</v>
      </c>
      <c r="C911" t="s">
        <v>46</v>
      </c>
      <c r="D911" s="1">
        <v>4658</v>
      </c>
      <c r="E911" s="1">
        <v>75027</v>
      </c>
      <c r="F911" s="2">
        <v>18256</v>
      </c>
    </row>
    <row r="912" spans="1:6" x14ac:dyDescent="0.35">
      <c r="A912">
        <v>2019</v>
      </c>
      <c r="B912" t="s">
        <v>59</v>
      </c>
      <c r="C912" t="s">
        <v>47</v>
      </c>
      <c r="D912" s="1">
        <v>17015</v>
      </c>
      <c r="E912" s="1">
        <v>285279</v>
      </c>
      <c r="F912" s="2">
        <v>18758</v>
      </c>
    </row>
    <row r="913" spans="1:6" x14ac:dyDescent="0.35">
      <c r="A913">
        <v>2019</v>
      </c>
      <c r="B913" t="s">
        <v>59</v>
      </c>
      <c r="C913" t="s">
        <v>48</v>
      </c>
      <c r="D913" s="1">
        <v>2398</v>
      </c>
      <c r="E913" s="1">
        <v>37041</v>
      </c>
      <c r="F913" s="2">
        <v>21994</v>
      </c>
    </row>
    <row r="914" spans="1:6" x14ac:dyDescent="0.35">
      <c r="A914">
        <v>2019</v>
      </c>
      <c r="B914" t="s">
        <v>60</v>
      </c>
      <c r="C914" t="s">
        <v>1</v>
      </c>
      <c r="D914" s="1">
        <v>10189</v>
      </c>
      <c r="E914" s="1">
        <v>46816</v>
      </c>
      <c r="F914" s="2">
        <v>38607</v>
      </c>
    </row>
    <row r="915" spans="1:6" x14ac:dyDescent="0.35">
      <c r="A915">
        <v>2019</v>
      </c>
      <c r="B915" t="s">
        <v>60</v>
      </c>
      <c r="C915" t="s">
        <v>2</v>
      </c>
      <c r="D915" s="1">
        <v>10674</v>
      </c>
      <c r="E915" s="1">
        <v>75782</v>
      </c>
      <c r="F915" s="2">
        <v>39965</v>
      </c>
    </row>
    <row r="916" spans="1:6" x14ac:dyDescent="0.35">
      <c r="A916">
        <v>2019</v>
      </c>
      <c r="B916" t="s">
        <v>60</v>
      </c>
      <c r="C916" t="s">
        <v>3</v>
      </c>
      <c r="D916" s="1">
        <v>5359</v>
      </c>
      <c r="E916" s="1">
        <v>25279</v>
      </c>
      <c r="F916" s="2">
        <v>36115</v>
      </c>
    </row>
    <row r="917" spans="1:6" x14ac:dyDescent="0.35">
      <c r="A917">
        <v>2019</v>
      </c>
      <c r="B917" t="s">
        <v>60</v>
      </c>
      <c r="C917" t="s">
        <v>4</v>
      </c>
      <c r="D917" s="1">
        <v>97442</v>
      </c>
      <c r="E917" s="1">
        <v>547972</v>
      </c>
      <c r="F917" s="2">
        <v>42293</v>
      </c>
    </row>
    <row r="918" spans="1:6" x14ac:dyDescent="0.35">
      <c r="A918">
        <v>2019</v>
      </c>
      <c r="B918" t="s">
        <v>60</v>
      </c>
      <c r="C918" t="s">
        <v>5</v>
      </c>
      <c r="D918" s="1">
        <v>17008</v>
      </c>
      <c r="E918" s="1">
        <v>84571</v>
      </c>
      <c r="F918" s="2">
        <v>42381</v>
      </c>
    </row>
    <row r="919" spans="1:6" x14ac:dyDescent="0.35">
      <c r="A919">
        <v>2019</v>
      </c>
      <c r="B919" t="s">
        <v>60</v>
      </c>
      <c r="C919" t="s">
        <v>6</v>
      </c>
      <c r="D919" s="1">
        <v>18146</v>
      </c>
      <c r="E919" s="1">
        <v>66497</v>
      </c>
      <c r="F919" s="2">
        <v>34861</v>
      </c>
    </row>
    <row r="920" spans="1:6" x14ac:dyDescent="0.35">
      <c r="A920">
        <v>2019</v>
      </c>
      <c r="B920" t="s">
        <v>60</v>
      </c>
      <c r="C920" t="s">
        <v>7</v>
      </c>
      <c r="D920" s="1">
        <v>2052</v>
      </c>
      <c r="E920" s="1">
        <v>12125</v>
      </c>
      <c r="F920" s="2">
        <v>35636</v>
      </c>
    </row>
    <row r="921" spans="1:6" x14ac:dyDescent="0.35">
      <c r="A921">
        <v>2019</v>
      </c>
      <c r="B921" t="s">
        <v>60</v>
      </c>
      <c r="C921" t="s">
        <v>8</v>
      </c>
      <c r="D921" s="1">
        <v>56765</v>
      </c>
      <c r="E921" s="1">
        <v>281975</v>
      </c>
      <c r="F921" s="2">
        <v>37969</v>
      </c>
    </row>
    <row r="922" spans="1:6" x14ac:dyDescent="0.35">
      <c r="A922">
        <v>2019</v>
      </c>
      <c r="B922" t="s">
        <v>60</v>
      </c>
      <c r="C922" t="s">
        <v>9</v>
      </c>
      <c r="D922" s="1">
        <v>18227</v>
      </c>
      <c r="E922" s="1">
        <v>111902</v>
      </c>
      <c r="F922" s="2">
        <v>37971</v>
      </c>
    </row>
    <row r="923" spans="1:6" x14ac:dyDescent="0.35">
      <c r="A923">
        <v>2019</v>
      </c>
      <c r="B923" t="s">
        <v>60</v>
      </c>
      <c r="C923" t="s">
        <v>10</v>
      </c>
      <c r="D923" s="1">
        <v>3845</v>
      </c>
      <c r="E923" s="1">
        <v>19414</v>
      </c>
      <c r="F923" s="2">
        <v>32615</v>
      </c>
    </row>
    <row r="924" spans="1:6" x14ac:dyDescent="0.35">
      <c r="A924">
        <v>2019</v>
      </c>
      <c r="B924" t="s">
        <v>60</v>
      </c>
      <c r="C924" t="s">
        <v>11</v>
      </c>
      <c r="D924" s="1">
        <v>39884</v>
      </c>
      <c r="E924" s="1">
        <v>209967</v>
      </c>
      <c r="F924" s="2">
        <v>43714</v>
      </c>
    </row>
    <row r="925" spans="1:6" x14ac:dyDescent="0.35">
      <c r="A925">
        <v>2019</v>
      </c>
      <c r="B925" t="s">
        <v>60</v>
      </c>
      <c r="C925" t="s">
        <v>12</v>
      </c>
      <c r="D925" s="1">
        <v>12916</v>
      </c>
      <c r="E925" s="1">
        <v>89273</v>
      </c>
      <c r="F925" s="2">
        <v>33759</v>
      </c>
    </row>
    <row r="926" spans="1:6" x14ac:dyDescent="0.35">
      <c r="A926">
        <v>2019</v>
      </c>
      <c r="B926" t="s">
        <v>60</v>
      </c>
      <c r="C926" t="s">
        <v>13</v>
      </c>
      <c r="D926" s="1">
        <v>8547</v>
      </c>
      <c r="E926" s="1">
        <v>42519</v>
      </c>
      <c r="F926" s="2">
        <v>36534</v>
      </c>
    </row>
    <row r="927" spans="1:6" x14ac:dyDescent="0.35">
      <c r="A927">
        <v>2019</v>
      </c>
      <c r="B927" t="s">
        <v>60</v>
      </c>
      <c r="C927" t="s">
        <v>14</v>
      </c>
      <c r="D927" s="1">
        <v>5938</v>
      </c>
      <c r="E927" s="1">
        <v>34833</v>
      </c>
      <c r="F927" s="2">
        <v>35624</v>
      </c>
    </row>
    <row r="928" spans="1:6" x14ac:dyDescent="0.35">
      <c r="A928">
        <v>2019</v>
      </c>
      <c r="B928" t="s">
        <v>60</v>
      </c>
      <c r="C928" t="s">
        <v>15</v>
      </c>
      <c r="D928" s="1">
        <v>10404</v>
      </c>
      <c r="E928" s="1">
        <v>46571</v>
      </c>
      <c r="F928" s="2">
        <v>34846</v>
      </c>
    </row>
    <row r="929" spans="1:6" x14ac:dyDescent="0.35">
      <c r="A929">
        <v>2019</v>
      </c>
      <c r="B929" t="s">
        <v>60</v>
      </c>
      <c r="C929" t="s">
        <v>16</v>
      </c>
      <c r="D929" s="1">
        <v>9280</v>
      </c>
      <c r="E929" s="1">
        <v>46391</v>
      </c>
      <c r="F929" s="2">
        <v>38963</v>
      </c>
    </row>
    <row r="930" spans="1:6" x14ac:dyDescent="0.35">
      <c r="A930">
        <v>2019</v>
      </c>
      <c r="B930" t="s">
        <v>60</v>
      </c>
      <c r="C930" t="s">
        <v>17</v>
      </c>
      <c r="D930" s="1">
        <v>3777</v>
      </c>
      <c r="E930" s="1">
        <v>17863</v>
      </c>
      <c r="F930" s="2">
        <v>35322</v>
      </c>
    </row>
    <row r="931" spans="1:6" x14ac:dyDescent="0.35">
      <c r="A931">
        <v>2019</v>
      </c>
      <c r="B931" t="s">
        <v>60</v>
      </c>
      <c r="C931" t="s">
        <v>18</v>
      </c>
      <c r="D931" s="1">
        <v>19358</v>
      </c>
      <c r="E931" s="1">
        <v>91545</v>
      </c>
      <c r="F931" s="2">
        <v>44150</v>
      </c>
    </row>
    <row r="932" spans="1:6" x14ac:dyDescent="0.35">
      <c r="A932">
        <v>2019</v>
      </c>
      <c r="B932" t="s">
        <v>60</v>
      </c>
      <c r="C932" t="s">
        <v>19</v>
      </c>
      <c r="D932" s="1">
        <v>22046</v>
      </c>
      <c r="E932" s="1">
        <v>121404</v>
      </c>
      <c r="F932" s="2">
        <v>40421</v>
      </c>
    </row>
    <row r="933" spans="1:6" x14ac:dyDescent="0.35">
      <c r="A933">
        <v>2019</v>
      </c>
      <c r="B933" t="s">
        <v>60</v>
      </c>
      <c r="C933" t="s">
        <v>20</v>
      </c>
      <c r="D933" s="1">
        <v>32480</v>
      </c>
      <c r="E933" s="1">
        <v>140352</v>
      </c>
      <c r="F933" s="2">
        <v>34330</v>
      </c>
    </row>
    <row r="934" spans="1:6" x14ac:dyDescent="0.35">
      <c r="A934">
        <v>2019</v>
      </c>
      <c r="B934" t="s">
        <v>60</v>
      </c>
      <c r="C934" t="s">
        <v>21</v>
      </c>
      <c r="D934" s="1">
        <v>17266</v>
      </c>
      <c r="E934" s="1">
        <v>91238</v>
      </c>
      <c r="F934" s="2">
        <v>35478</v>
      </c>
    </row>
    <row r="935" spans="1:6" x14ac:dyDescent="0.35">
      <c r="A935">
        <v>2019</v>
      </c>
      <c r="B935" t="s">
        <v>60</v>
      </c>
      <c r="C935" t="s">
        <v>22</v>
      </c>
      <c r="D935" s="1">
        <v>4589</v>
      </c>
      <c r="E935" s="1">
        <v>21043</v>
      </c>
      <c r="F935" s="2">
        <v>36243</v>
      </c>
    </row>
    <row r="936" spans="1:6" x14ac:dyDescent="0.35">
      <c r="A936">
        <v>2019</v>
      </c>
      <c r="B936" t="s">
        <v>60</v>
      </c>
      <c r="C936" t="s">
        <v>23</v>
      </c>
      <c r="D936" s="1">
        <v>13240</v>
      </c>
      <c r="E936" s="1">
        <v>75829</v>
      </c>
      <c r="F936" s="2">
        <v>35224</v>
      </c>
    </row>
    <row r="937" spans="1:6" x14ac:dyDescent="0.35">
      <c r="A937">
        <v>2019</v>
      </c>
      <c r="B937" t="s">
        <v>60</v>
      </c>
      <c r="C937" t="s">
        <v>24</v>
      </c>
      <c r="D937" s="1">
        <v>4153</v>
      </c>
      <c r="E937" s="1">
        <v>18442</v>
      </c>
      <c r="F937" s="2">
        <v>31791</v>
      </c>
    </row>
    <row r="938" spans="1:6" x14ac:dyDescent="0.35">
      <c r="A938">
        <v>2019</v>
      </c>
      <c r="B938" t="s">
        <v>60</v>
      </c>
      <c r="C938" t="s">
        <v>25</v>
      </c>
      <c r="D938" s="1">
        <v>4572</v>
      </c>
      <c r="E938" s="1">
        <v>25509</v>
      </c>
      <c r="F938" s="2">
        <v>33587</v>
      </c>
    </row>
    <row r="939" spans="1:6" x14ac:dyDescent="0.35">
      <c r="A939">
        <v>2019</v>
      </c>
      <c r="B939" t="s">
        <v>60</v>
      </c>
      <c r="C939" t="s">
        <v>26</v>
      </c>
      <c r="D939" s="1">
        <v>5140</v>
      </c>
      <c r="E939" s="1">
        <v>35449</v>
      </c>
      <c r="F939" s="2">
        <v>38479</v>
      </c>
    </row>
    <row r="940" spans="1:6" x14ac:dyDescent="0.35">
      <c r="A940">
        <v>2019</v>
      </c>
      <c r="B940" t="s">
        <v>60</v>
      </c>
      <c r="C940" t="s">
        <v>27</v>
      </c>
      <c r="D940" s="1">
        <v>4011</v>
      </c>
      <c r="E940" s="1">
        <v>21600</v>
      </c>
      <c r="F940" s="2">
        <v>39236</v>
      </c>
    </row>
    <row r="941" spans="1:6" x14ac:dyDescent="0.35">
      <c r="A941">
        <v>2019</v>
      </c>
      <c r="B941" t="s">
        <v>60</v>
      </c>
      <c r="C941" t="s">
        <v>28</v>
      </c>
      <c r="D941" s="1">
        <v>24469</v>
      </c>
      <c r="E941" s="1">
        <v>138255</v>
      </c>
      <c r="F941" s="2">
        <v>37373</v>
      </c>
    </row>
    <row r="942" spans="1:6" x14ac:dyDescent="0.35">
      <c r="A942">
        <v>2019</v>
      </c>
      <c r="B942" t="s">
        <v>60</v>
      </c>
      <c r="C942" t="s">
        <v>29</v>
      </c>
      <c r="D942" s="1">
        <v>4216</v>
      </c>
      <c r="E942" s="1">
        <v>21214</v>
      </c>
      <c r="F942" s="2">
        <v>35417</v>
      </c>
    </row>
    <row r="943" spans="1:6" x14ac:dyDescent="0.35">
      <c r="A943">
        <v>2019</v>
      </c>
      <c r="B943" t="s">
        <v>60</v>
      </c>
      <c r="C943" t="s">
        <v>30</v>
      </c>
      <c r="D943" s="1">
        <v>72430</v>
      </c>
      <c r="E943" s="1">
        <v>371218</v>
      </c>
      <c r="F943" s="2">
        <v>43410</v>
      </c>
    </row>
    <row r="944" spans="1:6" x14ac:dyDescent="0.35">
      <c r="A944">
        <v>2019</v>
      </c>
      <c r="B944" t="s">
        <v>60</v>
      </c>
      <c r="C944" t="s">
        <v>31</v>
      </c>
      <c r="D944" s="1">
        <v>24457</v>
      </c>
      <c r="E944" s="1">
        <v>115119</v>
      </c>
      <c r="F944" s="2">
        <v>36624</v>
      </c>
    </row>
    <row r="945" spans="1:6" x14ac:dyDescent="0.35">
      <c r="A945">
        <v>2019</v>
      </c>
      <c r="B945" t="s">
        <v>60</v>
      </c>
      <c r="C945" t="s">
        <v>32</v>
      </c>
      <c r="D945" s="1">
        <v>2047</v>
      </c>
      <c r="E945" s="1">
        <v>11337</v>
      </c>
      <c r="F945" s="2">
        <v>38696</v>
      </c>
    </row>
    <row r="946" spans="1:6" x14ac:dyDescent="0.35">
      <c r="A946">
        <v>2019</v>
      </c>
      <c r="B946" t="s">
        <v>60</v>
      </c>
      <c r="C946" t="s">
        <v>33</v>
      </c>
      <c r="D946" s="1">
        <v>23639</v>
      </c>
      <c r="E946" s="1">
        <v>157001</v>
      </c>
      <c r="F946" s="2">
        <v>35006</v>
      </c>
    </row>
    <row r="947" spans="1:6" x14ac:dyDescent="0.35">
      <c r="A947">
        <v>2019</v>
      </c>
      <c r="B947" t="s">
        <v>60</v>
      </c>
      <c r="C947" t="s">
        <v>34</v>
      </c>
      <c r="D947" s="1">
        <v>6589</v>
      </c>
      <c r="E947" s="1">
        <v>36706</v>
      </c>
      <c r="F947" s="2">
        <v>36151</v>
      </c>
    </row>
    <row r="948" spans="1:6" x14ac:dyDescent="0.35">
      <c r="A948">
        <v>2019</v>
      </c>
      <c r="B948" t="s">
        <v>60</v>
      </c>
      <c r="C948" t="s">
        <v>35</v>
      </c>
      <c r="D948" s="1">
        <v>25468</v>
      </c>
      <c r="E948" s="1">
        <v>78423</v>
      </c>
      <c r="F948" s="2">
        <v>35467</v>
      </c>
    </row>
    <row r="949" spans="1:6" x14ac:dyDescent="0.35">
      <c r="A949">
        <v>2019</v>
      </c>
      <c r="B949" t="s">
        <v>60</v>
      </c>
      <c r="C949" t="s">
        <v>36</v>
      </c>
      <c r="D949" s="1">
        <v>33082</v>
      </c>
      <c r="E949" s="1">
        <v>202171</v>
      </c>
      <c r="F949" s="2">
        <v>35131</v>
      </c>
    </row>
    <row r="950" spans="1:6" x14ac:dyDescent="0.35">
      <c r="A950">
        <v>2019</v>
      </c>
      <c r="B950" t="s">
        <v>60</v>
      </c>
      <c r="C950" t="s">
        <v>37</v>
      </c>
      <c r="D950" s="1">
        <v>3537</v>
      </c>
      <c r="E950" s="1">
        <v>18157</v>
      </c>
      <c r="F950" s="2">
        <v>34466</v>
      </c>
    </row>
    <row r="951" spans="1:6" x14ac:dyDescent="0.35">
      <c r="A951">
        <v>2019</v>
      </c>
      <c r="B951" t="s">
        <v>60</v>
      </c>
      <c r="C951" t="s">
        <v>38</v>
      </c>
      <c r="D951" s="1">
        <v>12142</v>
      </c>
      <c r="E951" s="1">
        <v>54906</v>
      </c>
      <c r="F951" s="2">
        <v>34386</v>
      </c>
    </row>
    <row r="952" spans="1:6" x14ac:dyDescent="0.35">
      <c r="A952">
        <v>2019</v>
      </c>
      <c r="B952" t="s">
        <v>60</v>
      </c>
      <c r="C952" t="s">
        <v>39</v>
      </c>
      <c r="D952" s="1">
        <v>2223</v>
      </c>
      <c r="E952" s="1">
        <v>11326</v>
      </c>
      <c r="F952" s="2">
        <v>34233</v>
      </c>
    </row>
    <row r="953" spans="1:6" x14ac:dyDescent="0.35">
      <c r="A953">
        <v>2019</v>
      </c>
      <c r="B953" t="s">
        <v>60</v>
      </c>
      <c r="C953" t="s">
        <v>40</v>
      </c>
      <c r="D953" s="1">
        <v>15931</v>
      </c>
      <c r="E953" s="1">
        <v>80484</v>
      </c>
      <c r="F953" s="2">
        <v>36227</v>
      </c>
    </row>
    <row r="954" spans="1:6" x14ac:dyDescent="0.35">
      <c r="A954">
        <v>2019</v>
      </c>
      <c r="B954" t="s">
        <v>60</v>
      </c>
      <c r="C954" t="s">
        <v>41</v>
      </c>
      <c r="D954" s="1">
        <v>57504</v>
      </c>
      <c r="E954" s="1">
        <v>343287</v>
      </c>
      <c r="F954" s="2">
        <v>41110</v>
      </c>
    </row>
    <row r="955" spans="1:6" x14ac:dyDescent="0.35">
      <c r="A955">
        <v>2019</v>
      </c>
      <c r="B955" t="s">
        <v>60</v>
      </c>
      <c r="C955" t="s">
        <v>42</v>
      </c>
      <c r="D955" s="1">
        <v>6492</v>
      </c>
      <c r="E955" s="1">
        <v>37200</v>
      </c>
      <c r="F955" s="2">
        <v>37389</v>
      </c>
    </row>
    <row r="956" spans="1:6" x14ac:dyDescent="0.35">
      <c r="A956">
        <v>2019</v>
      </c>
      <c r="B956" t="s">
        <v>60</v>
      </c>
      <c r="C956" t="s">
        <v>43</v>
      </c>
      <c r="D956" s="1">
        <v>1990</v>
      </c>
      <c r="E956" s="1">
        <v>8772</v>
      </c>
      <c r="F956" s="2">
        <v>37394</v>
      </c>
    </row>
    <row r="957" spans="1:6" x14ac:dyDescent="0.35">
      <c r="A957">
        <v>2019</v>
      </c>
      <c r="B957" t="s">
        <v>60</v>
      </c>
      <c r="C957" t="s">
        <v>44</v>
      </c>
      <c r="D957" s="1">
        <v>29777</v>
      </c>
      <c r="E957" s="1">
        <v>140456</v>
      </c>
      <c r="F957" s="2">
        <v>45136</v>
      </c>
    </row>
    <row r="958" spans="1:6" x14ac:dyDescent="0.35">
      <c r="A958">
        <v>2019</v>
      </c>
      <c r="B958" t="s">
        <v>60</v>
      </c>
      <c r="C958" t="s">
        <v>45</v>
      </c>
      <c r="D958" s="1">
        <v>19915</v>
      </c>
      <c r="E958" s="1">
        <v>102632</v>
      </c>
      <c r="F958" s="2">
        <v>42585</v>
      </c>
    </row>
    <row r="959" spans="1:6" x14ac:dyDescent="0.35">
      <c r="A959">
        <v>2019</v>
      </c>
      <c r="B959" t="s">
        <v>60</v>
      </c>
      <c r="C959" t="s">
        <v>46</v>
      </c>
      <c r="D959" s="1">
        <v>5797</v>
      </c>
      <c r="E959" s="1">
        <v>20164</v>
      </c>
      <c r="F959" s="2">
        <v>32080</v>
      </c>
    </row>
    <row r="960" spans="1:6" x14ac:dyDescent="0.35">
      <c r="A960">
        <v>2019</v>
      </c>
      <c r="B960" t="s">
        <v>60</v>
      </c>
      <c r="C960" t="s">
        <v>47</v>
      </c>
      <c r="D960" s="1">
        <v>13757</v>
      </c>
      <c r="E960" s="1">
        <v>84267</v>
      </c>
      <c r="F960" s="2">
        <v>31908</v>
      </c>
    </row>
    <row r="961" spans="1:6" x14ac:dyDescent="0.35">
      <c r="A961">
        <v>2019</v>
      </c>
      <c r="B961" t="s">
        <v>60</v>
      </c>
      <c r="C961" t="s">
        <v>48</v>
      </c>
      <c r="D961" s="1">
        <v>1655</v>
      </c>
      <c r="E961" s="1">
        <v>7188</v>
      </c>
      <c r="F961" s="2">
        <v>39255</v>
      </c>
    </row>
    <row r="962" spans="1:6" x14ac:dyDescent="0.35">
      <c r="A962">
        <v>2018</v>
      </c>
      <c r="B962" t="s">
        <v>55</v>
      </c>
      <c r="C962" t="s">
        <v>1</v>
      </c>
      <c r="D962" s="1">
        <v>1843</v>
      </c>
      <c r="E962" s="1">
        <v>18397</v>
      </c>
      <c r="F962" s="2">
        <v>56388</v>
      </c>
    </row>
    <row r="963" spans="1:6" x14ac:dyDescent="0.35">
      <c r="A963">
        <v>2018</v>
      </c>
      <c r="B963" t="s">
        <v>55</v>
      </c>
      <c r="C963" t="s">
        <v>2</v>
      </c>
      <c r="D963" s="1">
        <v>1328</v>
      </c>
      <c r="E963" s="1">
        <v>38653</v>
      </c>
      <c r="F963" s="2">
        <v>50854</v>
      </c>
    </row>
    <row r="964" spans="1:6" x14ac:dyDescent="0.35">
      <c r="A964">
        <v>2018</v>
      </c>
      <c r="B964" t="s">
        <v>55</v>
      </c>
      <c r="C964" t="s">
        <v>3</v>
      </c>
      <c r="D964" s="1">
        <v>2525</v>
      </c>
      <c r="E964" s="1">
        <v>16334</v>
      </c>
      <c r="F964" s="2">
        <v>47616</v>
      </c>
    </row>
    <row r="965" spans="1:6" x14ac:dyDescent="0.35">
      <c r="A965">
        <v>2018</v>
      </c>
      <c r="B965" t="s">
        <v>55</v>
      </c>
      <c r="C965" t="s">
        <v>4</v>
      </c>
      <c r="D965" s="1">
        <v>17605</v>
      </c>
      <c r="E965" s="1">
        <v>443542</v>
      </c>
      <c r="F965" s="2">
        <v>38595</v>
      </c>
    </row>
    <row r="966" spans="1:6" x14ac:dyDescent="0.35">
      <c r="A966">
        <v>2018</v>
      </c>
      <c r="B966" t="s">
        <v>55</v>
      </c>
      <c r="C966" t="s">
        <v>5</v>
      </c>
      <c r="D966" s="1">
        <v>3256</v>
      </c>
      <c r="E966" s="1">
        <v>46357</v>
      </c>
      <c r="F966" s="2">
        <v>88489</v>
      </c>
    </row>
    <row r="967" spans="1:6" x14ac:dyDescent="0.35">
      <c r="A967">
        <v>2018</v>
      </c>
      <c r="B967" t="s">
        <v>55</v>
      </c>
      <c r="C967" t="s">
        <v>6</v>
      </c>
      <c r="D967">
        <v>441</v>
      </c>
      <c r="E967" s="1">
        <v>5272</v>
      </c>
      <c r="F967" s="2">
        <v>40054</v>
      </c>
    </row>
    <row r="968" spans="1:6" x14ac:dyDescent="0.35">
      <c r="A968">
        <v>2018</v>
      </c>
      <c r="B968" t="s">
        <v>55</v>
      </c>
      <c r="C968" t="s">
        <v>7</v>
      </c>
      <c r="D968">
        <v>177</v>
      </c>
      <c r="E968" s="1">
        <v>1535</v>
      </c>
      <c r="F968" s="2">
        <v>39987</v>
      </c>
    </row>
    <row r="969" spans="1:6" x14ac:dyDescent="0.35">
      <c r="A969">
        <v>2018</v>
      </c>
      <c r="B969" t="s">
        <v>55</v>
      </c>
      <c r="C969" t="s">
        <v>8</v>
      </c>
      <c r="D969" s="1">
        <v>5289</v>
      </c>
      <c r="E969" s="1">
        <v>72507</v>
      </c>
      <c r="F969" s="2">
        <v>34681</v>
      </c>
    </row>
    <row r="970" spans="1:6" x14ac:dyDescent="0.35">
      <c r="A970">
        <v>2018</v>
      </c>
      <c r="B970" t="s">
        <v>55</v>
      </c>
      <c r="C970" t="s">
        <v>9</v>
      </c>
      <c r="D970" s="1">
        <v>2630</v>
      </c>
      <c r="E970" s="1">
        <v>29395</v>
      </c>
      <c r="F970" s="2">
        <v>42010</v>
      </c>
    </row>
    <row r="971" spans="1:6" x14ac:dyDescent="0.35">
      <c r="A971">
        <v>2018</v>
      </c>
      <c r="B971" t="s">
        <v>55</v>
      </c>
      <c r="C971" t="s">
        <v>10</v>
      </c>
      <c r="D971" s="1">
        <v>2500</v>
      </c>
      <c r="E971" s="1">
        <v>26636</v>
      </c>
      <c r="F971" s="2">
        <v>39998</v>
      </c>
    </row>
    <row r="972" spans="1:6" x14ac:dyDescent="0.35">
      <c r="A972">
        <v>2018</v>
      </c>
      <c r="B972" t="s">
        <v>55</v>
      </c>
      <c r="C972" t="s">
        <v>11</v>
      </c>
      <c r="D972" s="1">
        <v>2785</v>
      </c>
      <c r="E972" s="1">
        <v>26452</v>
      </c>
      <c r="F972" s="2">
        <v>50101</v>
      </c>
    </row>
    <row r="973" spans="1:6" x14ac:dyDescent="0.35">
      <c r="A973">
        <v>2018</v>
      </c>
      <c r="B973" t="s">
        <v>55</v>
      </c>
      <c r="C973" t="s">
        <v>12</v>
      </c>
      <c r="D973" s="1">
        <v>2217</v>
      </c>
      <c r="E973" s="1">
        <v>21236</v>
      </c>
      <c r="F973" s="2">
        <v>48605</v>
      </c>
    </row>
    <row r="974" spans="1:6" x14ac:dyDescent="0.35">
      <c r="A974">
        <v>2018</v>
      </c>
      <c r="B974" t="s">
        <v>55</v>
      </c>
      <c r="C974" t="s">
        <v>13</v>
      </c>
      <c r="D974" s="1">
        <v>2830</v>
      </c>
      <c r="E974" s="1">
        <v>23077</v>
      </c>
      <c r="F974" s="2">
        <v>42989</v>
      </c>
    </row>
    <row r="975" spans="1:6" x14ac:dyDescent="0.35">
      <c r="A975">
        <v>2018</v>
      </c>
      <c r="B975" t="s">
        <v>55</v>
      </c>
      <c r="C975" t="s">
        <v>14</v>
      </c>
      <c r="D975" s="1">
        <v>2658</v>
      </c>
      <c r="E975" s="1">
        <v>19284</v>
      </c>
      <c r="F975" s="2">
        <v>47004</v>
      </c>
    </row>
    <row r="976" spans="1:6" x14ac:dyDescent="0.35">
      <c r="A976">
        <v>2018</v>
      </c>
      <c r="B976" t="s">
        <v>55</v>
      </c>
      <c r="C976" t="s">
        <v>15</v>
      </c>
      <c r="D976" s="1">
        <v>1559</v>
      </c>
      <c r="E976" s="1">
        <v>18569</v>
      </c>
      <c r="F976" s="2">
        <v>56223</v>
      </c>
    </row>
    <row r="977" spans="1:6" x14ac:dyDescent="0.35">
      <c r="A977">
        <v>2018</v>
      </c>
      <c r="B977" t="s">
        <v>55</v>
      </c>
      <c r="C977" t="s">
        <v>16</v>
      </c>
      <c r="D977" s="1">
        <v>3089</v>
      </c>
      <c r="E977" s="1">
        <v>43598</v>
      </c>
      <c r="F977" s="2">
        <v>84277</v>
      </c>
    </row>
    <row r="978" spans="1:6" x14ac:dyDescent="0.35">
      <c r="A978">
        <v>2018</v>
      </c>
      <c r="B978" t="s">
        <v>55</v>
      </c>
      <c r="C978" t="s">
        <v>17</v>
      </c>
      <c r="D978" s="1">
        <v>1372</v>
      </c>
      <c r="E978" s="1">
        <v>7143</v>
      </c>
      <c r="F978" s="2">
        <v>41187</v>
      </c>
    </row>
    <row r="979" spans="1:6" x14ac:dyDescent="0.35">
      <c r="A979">
        <v>2018</v>
      </c>
      <c r="B979" t="s">
        <v>55</v>
      </c>
      <c r="C979" t="s">
        <v>18</v>
      </c>
      <c r="D979">
        <v>723</v>
      </c>
      <c r="E979" s="1">
        <v>6447</v>
      </c>
      <c r="F979" s="2">
        <v>43100</v>
      </c>
    </row>
    <row r="980" spans="1:6" x14ac:dyDescent="0.35">
      <c r="A980">
        <v>2018</v>
      </c>
      <c r="B980" t="s">
        <v>55</v>
      </c>
      <c r="C980" t="s">
        <v>19</v>
      </c>
      <c r="D980">
        <v>985</v>
      </c>
      <c r="E980" s="1">
        <v>9626</v>
      </c>
      <c r="F980" s="2">
        <v>61244</v>
      </c>
    </row>
    <row r="981" spans="1:6" x14ac:dyDescent="0.35">
      <c r="A981">
        <v>2018</v>
      </c>
      <c r="B981" t="s">
        <v>55</v>
      </c>
      <c r="C981" t="s">
        <v>20</v>
      </c>
      <c r="D981" s="1">
        <v>3282</v>
      </c>
      <c r="E981" s="1">
        <v>35874</v>
      </c>
      <c r="F981" s="2">
        <v>40516</v>
      </c>
    </row>
    <row r="982" spans="1:6" x14ac:dyDescent="0.35">
      <c r="A982">
        <v>2018</v>
      </c>
      <c r="B982" t="s">
        <v>55</v>
      </c>
      <c r="C982" t="s">
        <v>21</v>
      </c>
      <c r="D982" s="1">
        <v>3071</v>
      </c>
      <c r="E982" s="1">
        <v>27642</v>
      </c>
      <c r="F982" s="2">
        <v>50521</v>
      </c>
    </row>
    <row r="983" spans="1:6" x14ac:dyDescent="0.35">
      <c r="A983">
        <v>2018</v>
      </c>
      <c r="B983" t="s">
        <v>55</v>
      </c>
      <c r="C983" t="s">
        <v>22</v>
      </c>
      <c r="D983" s="1">
        <v>2153</v>
      </c>
      <c r="E983" s="1">
        <v>16234</v>
      </c>
      <c r="F983" s="2">
        <v>47028</v>
      </c>
    </row>
    <row r="984" spans="1:6" x14ac:dyDescent="0.35">
      <c r="A984">
        <v>2018</v>
      </c>
      <c r="B984" t="s">
        <v>55</v>
      </c>
      <c r="C984" t="s">
        <v>23</v>
      </c>
      <c r="D984" s="1">
        <v>1935</v>
      </c>
      <c r="E984" s="1">
        <v>16642</v>
      </c>
      <c r="F984" s="2">
        <v>43331</v>
      </c>
    </row>
    <row r="985" spans="1:6" x14ac:dyDescent="0.35">
      <c r="A985">
        <v>2018</v>
      </c>
      <c r="B985" t="s">
        <v>55</v>
      </c>
      <c r="C985" t="s">
        <v>24</v>
      </c>
      <c r="D985" s="1">
        <v>1771</v>
      </c>
      <c r="E985" s="1">
        <v>12503</v>
      </c>
      <c r="F985" s="2">
        <v>67090</v>
      </c>
    </row>
    <row r="986" spans="1:6" x14ac:dyDescent="0.35">
      <c r="A986">
        <v>2018</v>
      </c>
      <c r="B986" t="s">
        <v>55</v>
      </c>
      <c r="C986" t="s">
        <v>25</v>
      </c>
      <c r="D986" s="1">
        <v>2378</v>
      </c>
      <c r="E986" s="1">
        <v>15823</v>
      </c>
      <c r="F986" s="2">
        <v>41084</v>
      </c>
    </row>
    <row r="987" spans="1:6" x14ac:dyDescent="0.35">
      <c r="A987">
        <v>2018</v>
      </c>
      <c r="B987" t="s">
        <v>55</v>
      </c>
      <c r="C987" t="s">
        <v>26</v>
      </c>
      <c r="D987">
        <v>641</v>
      </c>
      <c r="E987" s="1">
        <v>19336</v>
      </c>
      <c r="F987" s="2">
        <v>82872</v>
      </c>
    </row>
    <row r="988" spans="1:6" x14ac:dyDescent="0.35">
      <c r="A988">
        <v>2018</v>
      </c>
      <c r="B988" t="s">
        <v>55</v>
      </c>
      <c r="C988" t="s">
        <v>27</v>
      </c>
      <c r="D988">
        <v>344</v>
      </c>
      <c r="E988" s="1">
        <v>2619</v>
      </c>
      <c r="F988" s="2">
        <v>42081</v>
      </c>
    </row>
    <row r="989" spans="1:6" x14ac:dyDescent="0.35">
      <c r="A989">
        <v>2018</v>
      </c>
      <c r="B989" t="s">
        <v>55</v>
      </c>
      <c r="C989" t="s">
        <v>28</v>
      </c>
      <c r="D989" s="1">
        <v>1003</v>
      </c>
      <c r="E989" s="1">
        <v>12165</v>
      </c>
      <c r="F989" s="2">
        <v>39981</v>
      </c>
    </row>
    <row r="990" spans="1:6" x14ac:dyDescent="0.35">
      <c r="A990">
        <v>2018</v>
      </c>
      <c r="B990" t="s">
        <v>55</v>
      </c>
      <c r="C990" t="s">
        <v>29</v>
      </c>
      <c r="D990" s="1">
        <v>2007</v>
      </c>
      <c r="E990" s="1">
        <v>35856</v>
      </c>
      <c r="F990" s="2">
        <v>64393</v>
      </c>
    </row>
    <row r="991" spans="1:6" x14ac:dyDescent="0.35">
      <c r="A991">
        <v>2018</v>
      </c>
      <c r="B991" t="s">
        <v>55</v>
      </c>
      <c r="C991" t="s">
        <v>30</v>
      </c>
      <c r="D991" s="1">
        <v>3062</v>
      </c>
      <c r="E991" s="1">
        <v>31787</v>
      </c>
      <c r="F991" s="2">
        <v>41230</v>
      </c>
    </row>
    <row r="992" spans="1:6" x14ac:dyDescent="0.35">
      <c r="A992">
        <v>2018</v>
      </c>
      <c r="B992" t="s">
        <v>55</v>
      </c>
      <c r="C992" t="s">
        <v>31</v>
      </c>
      <c r="D992" s="1">
        <v>3330</v>
      </c>
      <c r="E992" s="1">
        <v>30208</v>
      </c>
      <c r="F992" s="2">
        <v>39062</v>
      </c>
    </row>
    <row r="993" spans="1:6" x14ac:dyDescent="0.35">
      <c r="A993">
        <v>2018</v>
      </c>
      <c r="B993" t="s">
        <v>55</v>
      </c>
      <c r="C993" t="s">
        <v>32</v>
      </c>
      <c r="D993" s="1">
        <v>1766</v>
      </c>
      <c r="E993" s="1">
        <v>25422</v>
      </c>
      <c r="F993" s="2">
        <v>95073</v>
      </c>
    </row>
    <row r="994" spans="1:6" x14ac:dyDescent="0.35">
      <c r="A994">
        <v>2018</v>
      </c>
      <c r="B994" t="s">
        <v>55</v>
      </c>
      <c r="C994" t="s">
        <v>33</v>
      </c>
      <c r="D994" s="1">
        <v>2470</v>
      </c>
      <c r="E994" s="1">
        <v>28520</v>
      </c>
      <c r="F994" s="2">
        <v>51145</v>
      </c>
    </row>
    <row r="995" spans="1:6" x14ac:dyDescent="0.35">
      <c r="A995">
        <v>2018</v>
      </c>
      <c r="B995" t="s">
        <v>55</v>
      </c>
      <c r="C995" t="s">
        <v>34</v>
      </c>
      <c r="D995" s="1">
        <v>4348</v>
      </c>
      <c r="E995" s="1">
        <v>64020</v>
      </c>
      <c r="F995" s="2">
        <v>91135</v>
      </c>
    </row>
    <row r="996" spans="1:6" x14ac:dyDescent="0.35">
      <c r="A996">
        <v>2018</v>
      </c>
      <c r="B996" t="s">
        <v>55</v>
      </c>
      <c r="C996" t="s">
        <v>35</v>
      </c>
      <c r="D996" s="1">
        <v>4560</v>
      </c>
      <c r="E996" s="1">
        <v>53530</v>
      </c>
      <c r="F996" s="2">
        <v>37495</v>
      </c>
    </row>
    <row r="997" spans="1:6" x14ac:dyDescent="0.35">
      <c r="A997">
        <v>2018</v>
      </c>
      <c r="B997" t="s">
        <v>55</v>
      </c>
      <c r="C997" t="s">
        <v>36</v>
      </c>
      <c r="D997" s="1">
        <v>3585</v>
      </c>
      <c r="E997" s="1">
        <v>52523</v>
      </c>
      <c r="F997" s="2">
        <v>62951</v>
      </c>
    </row>
    <row r="998" spans="1:6" x14ac:dyDescent="0.35">
      <c r="A998">
        <v>2018</v>
      </c>
      <c r="B998" t="s">
        <v>55</v>
      </c>
      <c r="C998" t="s">
        <v>37</v>
      </c>
      <c r="D998">
        <v>194</v>
      </c>
      <c r="E998" s="1">
        <v>1056</v>
      </c>
      <c r="F998" s="2">
        <v>39071</v>
      </c>
    </row>
    <row r="999" spans="1:6" x14ac:dyDescent="0.35">
      <c r="A999">
        <v>2018</v>
      </c>
      <c r="B999" t="s">
        <v>55</v>
      </c>
      <c r="C999" t="s">
        <v>38</v>
      </c>
      <c r="D999" s="1">
        <v>1286</v>
      </c>
      <c r="E999" s="1">
        <v>12662</v>
      </c>
      <c r="F999" s="2">
        <v>40536</v>
      </c>
    </row>
    <row r="1000" spans="1:6" x14ac:dyDescent="0.35">
      <c r="A1000">
        <v>2018</v>
      </c>
      <c r="B1000" t="s">
        <v>55</v>
      </c>
      <c r="C1000" t="s">
        <v>39</v>
      </c>
      <c r="D1000" s="1">
        <v>1047</v>
      </c>
      <c r="E1000" s="1">
        <v>6831</v>
      </c>
      <c r="F1000" s="2">
        <v>42904</v>
      </c>
    </row>
    <row r="1001" spans="1:6" x14ac:dyDescent="0.35">
      <c r="A1001">
        <v>2018</v>
      </c>
      <c r="B1001" t="s">
        <v>55</v>
      </c>
      <c r="C1001" t="s">
        <v>40</v>
      </c>
      <c r="D1001" s="1">
        <v>1099</v>
      </c>
      <c r="E1001" s="1">
        <v>11051</v>
      </c>
      <c r="F1001" s="2">
        <v>46634</v>
      </c>
    </row>
    <row r="1002" spans="1:6" x14ac:dyDescent="0.35">
      <c r="A1002">
        <v>2018</v>
      </c>
      <c r="B1002" t="s">
        <v>55</v>
      </c>
      <c r="C1002" t="s">
        <v>41</v>
      </c>
      <c r="D1002" s="1">
        <v>19761</v>
      </c>
      <c r="E1002" s="1">
        <v>304275</v>
      </c>
      <c r="F1002" s="2">
        <v>109449</v>
      </c>
    </row>
    <row r="1003" spans="1:6" x14ac:dyDescent="0.35">
      <c r="A1003">
        <v>2018</v>
      </c>
      <c r="B1003" t="s">
        <v>55</v>
      </c>
      <c r="C1003" t="s">
        <v>42</v>
      </c>
      <c r="D1003" s="1">
        <v>1002</v>
      </c>
      <c r="E1003" s="1">
        <v>15159</v>
      </c>
      <c r="F1003" s="2">
        <v>61171</v>
      </c>
    </row>
    <row r="1004" spans="1:6" x14ac:dyDescent="0.35">
      <c r="A1004">
        <v>2018</v>
      </c>
      <c r="B1004" t="s">
        <v>55</v>
      </c>
      <c r="C1004" t="s">
        <v>43</v>
      </c>
      <c r="D1004">
        <v>548</v>
      </c>
      <c r="E1004" s="1">
        <v>3930</v>
      </c>
      <c r="F1004" s="2">
        <v>38605</v>
      </c>
    </row>
    <row r="1005" spans="1:6" x14ac:dyDescent="0.35">
      <c r="A1005">
        <v>2018</v>
      </c>
      <c r="B1005" t="s">
        <v>55</v>
      </c>
      <c r="C1005" t="s">
        <v>44</v>
      </c>
      <c r="D1005" s="1">
        <v>2101</v>
      </c>
      <c r="E1005" s="1">
        <v>19281</v>
      </c>
      <c r="F1005" s="2">
        <v>47043</v>
      </c>
    </row>
    <row r="1006" spans="1:6" x14ac:dyDescent="0.35">
      <c r="A1006">
        <v>2018</v>
      </c>
      <c r="B1006" t="s">
        <v>55</v>
      </c>
      <c r="C1006" t="s">
        <v>45</v>
      </c>
      <c r="D1006" s="1">
        <v>7317</v>
      </c>
      <c r="E1006" s="1">
        <v>109210</v>
      </c>
      <c r="F1006" s="2">
        <v>33346</v>
      </c>
    </row>
    <row r="1007" spans="1:6" x14ac:dyDescent="0.35">
      <c r="A1007">
        <v>2018</v>
      </c>
      <c r="B1007" t="s">
        <v>55</v>
      </c>
      <c r="C1007" t="s">
        <v>46</v>
      </c>
      <c r="D1007" s="1">
        <v>1199</v>
      </c>
      <c r="E1007" s="1">
        <v>23481</v>
      </c>
      <c r="F1007" s="2">
        <v>80012</v>
      </c>
    </row>
    <row r="1008" spans="1:6" x14ac:dyDescent="0.35">
      <c r="A1008">
        <v>2018</v>
      </c>
      <c r="B1008" t="s">
        <v>55</v>
      </c>
      <c r="C1008" t="s">
        <v>47</v>
      </c>
      <c r="D1008" s="1">
        <v>2926</v>
      </c>
      <c r="E1008" s="1">
        <v>32257</v>
      </c>
      <c r="F1008" s="2">
        <v>39437</v>
      </c>
    </row>
    <row r="1009" spans="1:6" x14ac:dyDescent="0.35">
      <c r="A1009">
        <v>2018</v>
      </c>
      <c r="B1009" t="s">
        <v>55</v>
      </c>
      <c r="C1009" t="s">
        <v>48</v>
      </c>
      <c r="D1009" s="1">
        <v>1438</v>
      </c>
      <c r="E1009" s="1">
        <v>23488</v>
      </c>
      <c r="F1009" s="2">
        <v>83751</v>
      </c>
    </row>
    <row r="1010" spans="1:6" x14ac:dyDescent="0.35">
      <c r="A1010">
        <v>2018</v>
      </c>
      <c r="B1010" t="s">
        <v>51</v>
      </c>
      <c r="C1010" t="s">
        <v>1</v>
      </c>
      <c r="D1010" s="1">
        <v>9897</v>
      </c>
      <c r="E1010" s="1">
        <v>89207</v>
      </c>
      <c r="F1010" s="2">
        <v>53957</v>
      </c>
    </row>
    <row r="1011" spans="1:6" x14ac:dyDescent="0.35">
      <c r="A1011">
        <v>2018</v>
      </c>
      <c r="B1011" t="s">
        <v>51</v>
      </c>
      <c r="C1011" t="s">
        <v>2</v>
      </c>
      <c r="D1011" s="1">
        <v>12867</v>
      </c>
      <c r="E1011" s="1">
        <v>158251</v>
      </c>
      <c r="F1011" s="2">
        <v>55989</v>
      </c>
    </row>
    <row r="1012" spans="1:6" x14ac:dyDescent="0.35">
      <c r="A1012">
        <v>2018</v>
      </c>
      <c r="B1012" t="s">
        <v>51</v>
      </c>
      <c r="C1012" t="s">
        <v>3</v>
      </c>
      <c r="D1012" s="1">
        <v>6945</v>
      </c>
      <c r="E1012" s="1">
        <v>50848</v>
      </c>
      <c r="F1012" s="2">
        <v>47988</v>
      </c>
    </row>
    <row r="1013" spans="1:6" x14ac:dyDescent="0.35">
      <c r="A1013">
        <v>2018</v>
      </c>
      <c r="B1013" t="s">
        <v>51</v>
      </c>
      <c r="C1013" t="s">
        <v>4</v>
      </c>
      <c r="D1013" s="1">
        <v>80657</v>
      </c>
      <c r="E1013" s="1">
        <v>860278</v>
      </c>
      <c r="F1013" s="2">
        <v>70084</v>
      </c>
    </row>
    <row r="1014" spans="1:6" x14ac:dyDescent="0.35">
      <c r="A1014">
        <v>2018</v>
      </c>
      <c r="B1014" t="s">
        <v>51</v>
      </c>
      <c r="C1014" t="s">
        <v>5</v>
      </c>
      <c r="D1014" s="1">
        <v>19884</v>
      </c>
      <c r="E1014" s="1">
        <v>173096</v>
      </c>
      <c r="F1014" s="2">
        <v>62414</v>
      </c>
    </row>
    <row r="1015" spans="1:6" x14ac:dyDescent="0.35">
      <c r="A1015">
        <v>2018</v>
      </c>
      <c r="B1015" t="s">
        <v>51</v>
      </c>
      <c r="C1015" t="s">
        <v>6</v>
      </c>
      <c r="D1015" s="1">
        <v>9399</v>
      </c>
      <c r="E1015" s="1">
        <v>58769</v>
      </c>
      <c r="F1015" s="2">
        <v>69727</v>
      </c>
    </row>
    <row r="1016" spans="1:6" x14ac:dyDescent="0.35">
      <c r="A1016">
        <v>2018</v>
      </c>
      <c r="B1016" t="s">
        <v>51</v>
      </c>
      <c r="C1016" t="s">
        <v>7</v>
      </c>
      <c r="D1016" s="1">
        <v>2871</v>
      </c>
      <c r="E1016" s="1">
        <v>22192</v>
      </c>
      <c r="F1016" s="2">
        <v>59797</v>
      </c>
    </row>
    <row r="1017" spans="1:6" x14ac:dyDescent="0.35">
      <c r="A1017">
        <v>2018</v>
      </c>
      <c r="B1017" t="s">
        <v>51</v>
      </c>
      <c r="C1017" t="s">
        <v>8</v>
      </c>
      <c r="D1017" s="1">
        <v>70819</v>
      </c>
      <c r="E1017" s="1">
        <v>541083</v>
      </c>
      <c r="F1017" s="2">
        <v>51286</v>
      </c>
    </row>
    <row r="1018" spans="1:6" x14ac:dyDescent="0.35">
      <c r="A1018">
        <v>2018</v>
      </c>
      <c r="B1018" t="s">
        <v>51</v>
      </c>
      <c r="C1018" t="s">
        <v>9</v>
      </c>
      <c r="D1018" s="1">
        <v>20577</v>
      </c>
      <c r="E1018" s="1">
        <v>195221</v>
      </c>
      <c r="F1018" s="2">
        <v>61018</v>
      </c>
    </row>
    <row r="1019" spans="1:6" x14ac:dyDescent="0.35">
      <c r="A1019">
        <v>2018</v>
      </c>
      <c r="B1019" t="s">
        <v>51</v>
      </c>
      <c r="C1019" t="s">
        <v>10</v>
      </c>
      <c r="D1019" s="1">
        <v>8174</v>
      </c>
      <c r="E1019" s="1">
        <v>46827</v>
      </c>
      <c r="F1019" s="2">
        <v>44285</v>
      </c>
    </row>
    <row r="1020" spans="1:6" x14ac:dyDescent="0.35">
      <c r="A1020">
        <v>2018</v>
      </c>
      <c r="B1020" t="s">
        <v>51</v>
      </c>
      <c r="C1020" t="s">
        <v>11</v>
      </c>
      <c r="D1020" s="1">
        <v>32305</v>
      </c>
      <c r="E1020" s="1">
        <v>225991</v>
      </c>
      <c r="F1020" s="2">
        <v>71957</v>
      </c>
    </row>
    <row r="1021" spans="1:6" x14ac:dyDescent="0.35">
      <c r="A1021">
        <v>2018</v>
      </c>
      <c r="B1021" t="s">
        <v>51</v>
      </c>
      <c r="C1021" t="s">
        <v>12</v>
      </c>
      <c r="D1021" s="1">
        <v>15176</v>
      </c>
      <c r="E1021" s="1">
        <v>141028</v>
      </c>
      <c r="F1021" s="2">
        <v>58404</v>
      </c>
    </row>
    <row r="1022" spans="1:6" x14ac:dyDescent="0.35">
      <c r="A1022">
        <v>2018</v>
      </c>
      <c r="B1022" t="s">
        <v>51</v>
      </c>
      <c r="C1022" t="s">
        <v>13</v>
      </c>
      <c r="D1022" s="1">
        <v>9447</v>
      </c>
      <c r="E1022" s="1">
        <v>77230</v>
      </c>
      <c r="F1022" s="2">
        <v>57435</v>
      </c>
    </row>
    <row r="1023" spans="1:6" x14ac:dyDescent="0.35">
      <c r="A1023">
        <v>2018</v>
      </c>
      <c r="B1023" t="s">
        <v>51</v>
      </c>
      <c r="C1023" t="s">
        <v>14</v>
      </c>
      <c r="D1023" s="1">
        <v>7555</v>
      </c>
      <c r="E1023" s="1">
        <v>61206</v>
      </c>
      <c r="F1023" s="2">
        <v>54735</v>
      </c>
    </row>
    <row r="1024" spans="1:6" x14ac:dyDescent="0.35">
      <c r="A1024">
        <v>2018</v>
      </c>
      <c r="B1024" t="s">
        <v>51</v>
      </c>
      <c r="C1024" t="s">
        <v>15</v>
      </c>
      <c r="D1024" s="1">
        <v>9466</v>
      </c>
      <c r="E1024" s="1">
        <v>77934</v>
      </c>
      <c r="F1024" s="2">
        <v>53957</v>
      </c>
    </row>
    <row r="1025" spans="1:6" x14ac:dyDescent="0.35">
      <c r="A1025">
        <v>2018</v>
      </c>
      <c r="B1025" t="s">
        <v>51</v>
      </c>
      <c r="C1025" t="s">
        <v>16</v>
      </c>
      <c r="D1025" s="1">
        <v>10844</v>
      </c>
      <c r="E1025" s="1">
        <v>151993</v>
      </c>
      <c r="F1025" s="2">
        <v>63892</v>
      </c>
    </row>
    <row r="1026" spans="1:6" x14ac:dyDescent="0.35">
      <c r="A1026">
        <v>2018</v>
      </c>
      <c r="B1026" t="s">
        <v>51</v>
      </c>
      <c r="C1026" t="s">
        <v>17</v>
      </c>
      <c r="D1026" s="1">
        <v>5475</v>
      </c>
      <c r="E1026" s="1">
        <v>29285</v>
      </c>
      <c r="F1026" s="2">
        <v>49575</v>
      </c>
    </row>
    <row r="1027" spans="1:6" x14ac:dyDescent="0.35">
      <c r="A1027">
        <v>2018</v>
      </c>
      <c r="B1027" t="s">
        <v>51</v>
      </c>
      <c r="C1027" t="s">
        <v>18</v>
      </c>
      <c r="D1027" s="1">
        <v>16487</v>
      </c>
      <c r="E1027" s="1">
        <v>163210</v>
      </c>
      <c r="F1027" s="2">
        <v>65971</v>
      </c>
    </row>
    <row r="1028" spans="1:6" x14ac:dyDescent="0.35">
      <c r="A1028">
        <v>2018</v>
      </c>
      <c r="B1028" t="s">
        <v>51</v>
      </c>
      <c r="C1028" t="s">
        <v>19</v>
      </c>
      <c r="D1028" s="1">
        <v>21120</v>
      </c>
      <c r="E1028" s="1">
        <v>158656</v>
      </c>
      <c r="F1028" s="2">
        <v>78802</v>
      </c>
    </row>
    <row r="1029" spans="1:6" x14ac:dyDescent="0.35">
      <c r="A1029">
        <v>2018</v>
      </c>
      <c r="B1029" t="s">
        <v>51</v>
      </c>
      <c r="C1029" t="s">
        <v>20</v>
      </c>
      <c r="D1029" s="1">
        <v>19952</v>
      </c>
      <c r="E1029" s="1">
        <v>168632</v>
      </c>
      <c r="F1029" s="2">
        <v>62378</v>
      </c>
    </row>
    <row r="1030" spans="1:6" x14ac:dyDescent="0.35">
      <c r="A1030">
        <v>2018</v>
      </c>
      <c r="B1030" t="s">
        <v>51</v>
      </c>
      <c r="C1030" t="s">
        <v>21</v>
      </c>
      <c r="D1030" s="1">
        <v>16480</v>
      </c>
      <c r="E1030" s="1">
        <v>121665</v>
      </c>
      <c r="F1030" s="2">
        <v>67248</v>
      </c>
    </row>
    <row r="1031" spans="1:6" x14ac:dyDescent="0.35">
      <c r="A1031">
        <v>2018</v>
      </c>
      <c r="B1031" t="s">
        <v>51</v>
      </c>
      <c r="C1031" t="s">
        <v>22</v>
      </c>
      <c r="D1031" s="1">
        <v>5760</v>
      </c>
      <c r="E1031" s="1">
        <v>43911</v>
      </c>
      <c r="F1031" s="2">
        <v>50325</v>
      </c>
    </row>
    <row r="1032" spans="1:6" x14ac:dyDescent="0.35">
      <c r="A1032">
        <v>2018</v>
      </c>
      <c r="B1032" t="s">
        <v>51</v>
      </c>
      <c r="C1032" t="s">
        <v>23</v>
      </c>
      <c r="D1032" s="1">
        <v>14591</v>
      </c>
      <c r="E1032" s="1">
        <v>122662</v>
      </c>
      <c r="F1032" s="2">
        <v>59442</v>
      </c>
    </row>
    <row r="1033" spans="1:6" x14ac:dyDescent="0.35">
      <c r="A1033">
        <v>2018</v>
      </c>
      <c r="B1033" t="s">
        <v>51</v>
      </c>
      <c r="C1033" t="s">
        <v>24</v>
      </c>
      <c r="D1033" s="1">
        <v>6514</v>
      </c>
      <c r="E1033" s="1">
        <v>29077</v>
      </c>
      <c r="F1033" s="2">
        <v>52969</v>
      </c>
    </row>
    <row r="1034" spans="1:6" x14ac:dyDescent="0.35">
      <c r="A1034">
        <v>2018</v>
      </c>
      <c r="B1034" t="s">
        <v>51</v>
      </c>
      <c r="C1034" t="s">
        <v>25</v>
      </c>
      <c r="D1034" s="1">
        <v>7068</v>
      </c>
      <c r="E1034" s="1">
        <v>52320</v>
      </c>
      <c r="F1034" s="2">
        <v>51657</v>
      </c>
    </row>
    <row r="1035" spans="1:6" x14ac:dyDescent="0.35">
      <c r="A1035">
        <v>2018</v>
      </c>
      <c r="B1035" t="s">
        <v>51</v>
      </c>
      <c r="C1035" t="s">
        <v>26</v>
      </c>
      <c r="D1035" s="1">
        <v>5898</v>
      </c>
      <c r="E1035" s="1">
        <v>89125</v>
      </c>
      <c r="F1035" s="2">
        <v>61123</v>
      </c>
    </row>
    <row r="1036" spans="1:6" x14ac:dyDescent="0.35">
      <c r="A1036">
        <v>2018</v>
      </c>
      <c r="B1036" t="s">
        <v>51</v>
      </c>
      <c r="C1036" t="s">
        <v>27</v>
      </c>
      <c r="D1036" s="1">
        <v>4498</v>
      </c>
      <c r="E1036" s="1">
        <v>26890</v>
      </c>
      <c r="F1036" s="2">
        <v>62661</v>
      </c>
    </row>
    <row r="1037" spans="1:6" x14ac:dyDescent="0.35">
      <c r="A1037">
        <v>2018</v>
      </c>
      <c r="B1037" t="s">
        <v>51</v>
      </c>
      <c r="C1037" t="s">
        <v>28</v>
      </c>
      <c r="D1037" s="1">
        <v>22416</v>
      </c>
      <c r="E1037" s="1">
        <v>157147</v>
      </c>
      <c r="F1037" s="2">
        <v>72658</v>
      </c>
    </row>
    <row r="1038" spans="1:6" x14ac:dyDescent="0.35">
      <c r="A1038">
        <v>2018</v>
      </c>
      <c r="B1038" t="s">
        <v>51</v>
      </c>
      <c r="C1038" t="s">
        <v>29</v>
      </c>
      <c r="D1038" s="1">
        <v>5337</v>
      </c>
      <c r="E1038" s="1">
        <v>47224</v>
      </c>
      <c r="F1038" s="2">
        <v>49350</v>
      </c>
    </row>
    <row r="1039" spans="1:6" x14ac:dyDescent="0.35">
      <c r="A1039">
        <v>2018</v>
      </c>
      <c r="B1039" t="s">
        <v>51</v>
      </c>
      <c r="C1039" t="s">
        <v>30</v>
      </c>
      <c r="D1039" s="1">
        <v>50281</v>
      </c>
      <c r="E1039" s="1">
        <v>399629</v>
      </c>
      <c r="F1039" s="2">
        <v>73248</v>
      </c>
    </row>
    <row r="1040" spans="1:6" x14ac:dyDescent="0.35">
      <c r="A1040">
        <v>2018</v>
      </c>
      <c r="B1040" t="s">
        <v>51</v>
      </c>
      <c r="C1040" t="s">
        <v>31</v>
      </c>
      <c r="D1040" s="1">
        <v>26741</v>
      </c>
      <c r="E1040" s="1">
        <v>220692</v>
      </c>
      <c r="F1040" s="2">
        <v>54587</v>
      </c>
    </row>
    <row r="1041" spans="1:6" x14ac:dyDescent="0.35">
      <c r="A1041">
        <v>2018</v>
      </c>
      <c r="B1041" t="s">
        <v>51</v>
      </c>
      <c r="C1041" t="s">
        <v>32</v>
      </c>
      <c r="D1041" s="1">
        <v>3798</v>
      </c>
      <c r="E1041" s="1">
        <v>26002</v>
      </c>
      <c r="F1041" s="2">
        <v>64586</v>
      </c>
    </row>
    <row r="1042" spans="1:6" x14ac:dyDescent="0.35">
      <c r="A1042">
        <v>2018</v>
      </c>
      <c r="B1042" t="s">
        <v>51</v>
      </c>
      <c r="C1042" t="s">
        <v>33</v>
      </c>
      <c r="D1042" s="1">
        <v>23076</v>
      </c>
      <c r="E1042" s="1">
        <v>220709</v>
      </c>
      <c r="F1042" s="2">
        <v>61194</v>
      </c>
    </row>
    <row r="1043" spans="1:6" x14ac:dyDescent="0.35">
      <c r="A1043">
        <v>2018</v>
      </c>
      <c r="B1043" t="s">
        <v>51</v>
      </c>
      <c r="C1043" t="s">
        <v>34</v>
      </c>
      <c r="D1043" s="1">
        <v>9765</v>
      </c>
      <c r="E1043" s="1">
        <v>80295</v>
      </c>
      <c r="F1043" s="2">
        <v>52777</v>
      </c>
    </row>
    <row r="1044" spans="1:6" x14ac:dyDescent="0.35">
      <c r="A1044">
        <v>2018</v>
      </c>
      <c r="B1044" t="s">
        <v>51</v>
      </c>
      <c r="C1044" t="s">
        <v>35</v>
      </c>
      <c r="D1044" s="1">
        <v>14244</v>
      </c>
      <c r="E1044" s="1">
        <v>104561</v>
      </c>
      <c r="F1044" s="2">
        <v>60523</v>
      </c>
    </row>
    <row r="1045" spans="1:6" x14ac:dyDescent="0.35">
      <c r="A1045">
        <v>2018</v>
      </c>
      <c r="B1045" t="s">
        <v>51</v>
      </c>
      <c r="C1045" t="s">
        <v>36</v>
      </c>
      <c r="D1045" s="1">
        <v>28749</v>
      </c>
      <c r="E1045" s="1">
        <v>255910</v>
      </c>
      <c r="F1045" s="2">
        <v>66852</v>
      </c>
    </row>
    <row r="1046" spans="1:6" x14ac:dyDescent="0.35">
      <c r="A1046">
        <v>2018</v>
      </c>
      <c r="B1046" t="s">
        <v>51</v>
      </c>
      <c r="C1046" t="s">
        <v>37</v>
      </c>
      <c r="D1046" s="1">
        <v>3743</v>
      </c>
      <c r="E1046" s="1">
        <v>19229</v>
      </c>
      <c r="F1046" s="2">
        <v>61579</v>
      </c>
    </row>
    <row r="1047" spans="1:6" x14ac:dyDescent="0.35">
      <c r="A1047">
        <v>2018</v>
      </c>
      <c r="B1047" t="s">
        <v>51</v>
      </c>
      <c r="C1047" t="s">
        <v>38</v>
      </c>
      <c r="D1047" s="1">
        <v>12124</v>
      </c>
      <c r="E1047" s="1">
        <v>104324</v>
      </c>
      <c r="F1047" s="2">
        <v>52634</v>
      </c>
    </row>
    <row r="1048" spans="1:6" x14ac:dyDescent="0.35">
      <c r="A1048">
        <v>2018</v>
      </c>
      <c r="B1048" t="s">
        <v>51</v>
      </c>
      <c r="C1048" t="s">
        <v>39</v>
      </c>
      <c r="D1048" s="1">
        <v>3884</v>
      </c>
      <c r="E1048" s="1">
        <v>22971</v>
      </c>
      <c r="F1048" s="2">
        <v>48981</v>
      </c>
    </row>
    <row r="1049" spans="1:6" x14ac:dyDescent="0.35">
      <c r="A1049">
        <v>2018</v>
      </c>
      <c r="B1049" t="s">
        <v>51</v>
      </c>
      <c r="C1049" t="s">
        <v>40</v>
      </c>
      <c r="D1049" s="1">
        <v>12110</v>
      </c>
      <c r="E1049" s="1">
        <v>124488</v>
      </c>
      <c r="F1049" s="2">
        <v>57033</v>
      </c>
    </row>
    <row r="1050" spans="1:6" x14ac:dyDescent="0.35">
      <c r="A1050">
        <v>2018</v>
      </c>
      <c r="B1050" t="s">
        <v>51</v>
      </c>
      <c r="C1050" t="s">
        <v>41</v>
      </c>
      <c r="D1050" s="1">
        <v>51405</v>
      </c>
      <c r="E1050" s="1">
        <v>739156</v>
      </c>
      <c r="F1050" s="2">
        <v>65554</v>
      </c>
    </row>
    <row r="1051" spans="1:6" x14ac:dyDescent="0.35">
      <c r="A1051">
        <v>2018</v>
      </c>
      <c r="B1051" t="s">
        <v>51</v>
      </c>
      <c r="C1051" t="s">
        <v>42</v>
      </c>
      <c r="D1051" s="1">
        <v>11572</v>
      </c>
      <c r="E1051" s="1">
        <v>104339</v>
      </c>
      <c r="F1051" s="2">
        <v>51052</v>
      </c>
    </row>
    <row r="1052" spans="1:6" x14ac:dyDescent="0.35">
      <c r="A1052">
        <v>2018</v>
      </c>
      <c r="B1052" t="s">
        <v>51</v>
      </c>
      <c r="C1052" t="s">
        <v>43</v>
      </c>
      <c r="D1052" s="1">
        <v>2878</v>
      </c>
      <c r="E1052" s="1">
        <v>15262</v>
      </c>
      <c r="F1052" s="2">
        <v>51025</v>
      </c>
    </row>
    <row r="1053" spans="1:6" x14ac:dyDescent="0.35">
      <c r="A1053">
        <v>2018</v>
      </c>
      <c r="B1053" t="s">
        <v>51</v>
      </c>
      <c r="C1053" t="s">
        <v>44</v>
      </c>
      <c r="D1053" s="1">
        <v>21508</v>
      </c>
      <c r="E1053" s="1">
        <v>197292</v>
      </c>
      <c r="F1053" s="2">
        <v>58050</v>
      </c>
    </row>
    <row r="1054" spans="1:6" x14ac:dyDescent="0.35">
      <c r="A1054">
        <v>2018</v>
      </c>
      <c r="B1054" t="s">
        <v>51</v>
      </c>
      <c r="C1054" t="s">
        <v>45</v>
      </c>
      <c r="D1054" s="1">
        <v>26015</v>
      </c>
      <c r="E1054" s="1">
        <v>199867</v>
      </c>
      <c r="F1054" s="2">
        <v>64432</v>
      </c>
    </row>
    <row r="1055" spans="1:6" x14ac:dyDescent="0.35">
      <c r="A1055">
        <v>2018</v>
      </c>
      <c r="B1055" t="s">
        <v>51</v>
      </c>
      <c r="C1055" t="s">
        <v>46</v>
      </c>
      <c r="D1055" s="1">
        <v>4435</v>
      </c>
      <c r="E1055" s="1">
        <v>40126</v>
      </c>
      <c r="F1055" s="2">
        <v>72255</v>
      </c>
    </row>
    <row r="1056" spans="1:6" x14ac:dyDescent="0.35">
      <c r="A1056">
        <v>2018</v>
      </c>
      <c r="B1056" t="s">
        <v>51</v>
      </c>
      <c r="C1056" t="s">
        <v>47</v>
      </c>
      <c r="D1056" s="1">
        <v>14814</v>
      </c>
      <c r="E1056" s="1">
        <v>122396</v>
      </c>
      <c r="F1056" s="2">
        <v>62063</v>
      </c>
    </row>
    <row r="1057" spans="1:6" x14ac:dyDescent="0.35">
      <c r="A1057">
        <v>2018</v>
      </c>
      <c r="B1057" t="s">
        <v>51</v>
      </c>
      <c r="C1057" t="s">
        <v>48</v>
      </c>
      <c r="D1057" s="1">
        <v>3375</v>
      </c>
      <c r="E1057" s="1">
        <v>20253</v>
      </c>
      <c r="F1057" s="2">
        <v>53554</v>
      </c>
    </row>
    <row r="1058" spans="1:6" x14ac:dyDescent="0.35">
      <c r="A1058">
        <v>2018</v>
      </c>
      <c r="B1058" t="s">
        <v>52</v>
      </c>
      <c r="C1058" t="s">
        <v>1</v>
      </c>
      <c r="D1058" s="1">
        <v>5566</v>
      </c>
      <c r="E1058" s="1">
        <v>266798</v>
      </c>
      <c r="F1058" s="2">
        <v>57068</v>
      </c>
    </row>
    <row r="1059" spans="1:6" x14ac:dyDescent="0.35">
      <c r="A1059">
        <v>2018</v>
      </c>
      <c r="B1059" t="s">
        <v>52</v>
      </c>
      <c r="C1059" t="s">
        <v>2</v>
      </c>
      <c r="D1059" s="1">
        <v>4926</v>
      </c>
      <c r="E1059" s="1">
        <v>169675</v>
      </c>
      <c r="F1059" s="2">
        <v>76139</v>
      </c>
    </row>
    <row r="1060" spans="1:6" x14ac:dyDescent="0.35">
      <c r="A1060">
        <v>2018</v>
      </c>
      <c r="B1060" t="s">
        <v>52</v>
      </c>
      <c r="C1060" t="s">
        <v>3</v>
      </c>
      <c r="D1060" s="1">
        <v>2918</v>
      </c>
      <c r="E1060" s="1">
        <v>160597</v>
      </c>
      <c r="F1060" s="2">
        <v>47984</v>
      </c>
    </row>
    <row r="1061" spans="1:6" x14ac:dyDescent="0.35">
      <c r="A1061">
        <v>2018</v>
      </c>
      <c r="B1061" t="s">
        <v>52</v>
      </c>
      <c r="C1061" t="s">
        <v>4</v>
      </c>
      <c r="D1061" s="1">
        <v>44706</v>
      </c>
      <c r="E1061" s="1">
        <v>1320068</v>
      </c>
      <c r="F1061" s="2">
        <v>95627</v>
      </c>
    </row>
    <row r="1062" spans="1:6" x14ac:dyDescent="0.35">
      <c r="A1062">
        <v>2018</v>
      </c>
      <c r="B1062" t="s">
        <v>52</v>
      </c>
      <c r="C1062" t="s">
        <v>5</v>
      </c>
      <c r="D1062" s="1">
        <v>5804</v>
      </c>
      <c r="E1062" s="1">
        <v>147285</v>
      </c>
      <c r="F1062" s="2">
        <v>70677</v>
      </c>
    </row>
    <row r="1063" spans="1:6" x14ac:dyDescent="0.35">
      <c r="A1063">
        <v>2018</v>
      </c>
      <c r="B1063" t="s">
        <v>52</v>
      </c>
      <c r="C1063" t="s">
        <v>6</v>
      </c>
      <c r="D1063" s="1">
        <v>4408</v>
      </c>
      <c r="E1063" s="1">
        <v>160500</v>
      </c>
      <c r="F1063" s="2">
        <v>82569</v>
      </c>
    </row>
    <row r="1064" spans="1:6" x14ac:dyDescent="0.35">
      <c r="A1064">
        <v>2018</v>
      </c>
      <c r="B1064" t="s">
        <v>52</v>
      </c>
      <c r="C1064" t="s">
        <v>7</v>
      </c>
      <c r="D1064">
        <v>661</v>
      </c>
      <c r="E1064" s="1">
        <v>27077</v>
      </c>
      <c r="F1064" s="2">
        <v>64153</v>
      </c>
    </row>
    <row r="1065" spans="1:6" x14ac:dyDescent="0.35">
      <c r="A1065">
        <v>2018</v>
      </c>
      <c r="B1065" t="s">
        <v>52</v>
      </c>
      <c r="C1065" t="s">
        <v>8</v>
      </c>
      <c r="D1065" s="1">
        <v>20548</v>
      </c>
      <c r="E1065" s="1">
        <v>371590</v>
      </c>
      <c r="F1065" s="2">
        <v>61740</v>
      </c>
    </row>
    <row r="1066" spans="1:6" x14ac:dyDescent="0.35">
      <c r="A1066">
        <v>2018</v>
      </c>
      <c r="B1066" t="s">
        <v>52</v>
      </c>
      <c r="C1066" t="s">
        <v>9</v>
      </c>
      <c r="D1066" s="1">
        <v>9884</v>
      </c>
      <c r="E1066" s="1">
        <v>406818</v>
      </c>
      <c r="F1066" s="2">
        <v>59168</v>
      </c>
    </row>
    <row r="1067" spans="1:6" x14ac:dyDescent="0.35">
      <c r="A1067">
        <v>2018</v>
      </c>
      <c r="B1067" t="s">
        <v>52</v>
      </c>
      <c r="C1067" t="s">
        <v>10</v>
      </c>
      <c r="D1067" s="1">
        <v>2807</v>
      </c>
      <c r="E1067" s="1">
        <v>67792</v>
      </c>
      <c r="F1067" s="2">
        <v>63932</v>
      </c>
    </row>
    <row r="1068" spans="1:6" x14ac:dyDescent="0.35">
      <c r="A1068">
        <v>2018</v>
      </c>
      <c r="B1068" t="s">
        <v>52</v>
      </c>
      <c r="C1068" t="s">
        <v>11</v>
      </c>
      <c r="D1068" s="1">
        <v>17883</v>
      </c>
      <c r="E1068" s="1">
        <v>586130</v>
      </c>
      <c r="F1068" s="2">
        <v>71895</v>
      </c>
    </row>
    <row r="1069" spans="1:6" x14ac:dyDescent="0.35">
      <c r="A1069">
        <v>2018</v>
      </c>
      <c r="B1069" t="s">
        <v>52</v>
      </c>
      <c r="C1069" t="s">
        <v>12</v>
      </c>
      <c r="D1069" s="1">
        <v>8825</v>
      </c>
      <c r="E1069" s="1">
        <v>541836</v>
      </c>
      <c r="F1069" s="2">
        <v>62680</v>
      </c>
    </row>
    <row r="1070" spans="1:6" x14ac:dyDescent="0.35">
      <c r="A1070">
        <v>2018</v>
      </c>
      <c r="B1070" t="s">
        <v>52</v>
      </c>
      <c r="C1070" t="s">
        <v>13</v>
      </c>
      <c r="D1070" s="1">
        <v>4142</v>
      </c>
      <c r="E1070" s="1">
        <v>222586</v>
      </c>
      <c r="F1070" s="2">
        <v>60257</v>
      </c>
    </row>
    <row r="1071" spans="1:6" x14ac:dyDescent="0.35">
      <c r="A1071">
        <v>2018</v>
      </c>
      <c r="B1071" t="s">
        <v>52</v>
      </c>
      <c r="C1071" t="s">
        <v>14</v>
      </c>
      <c r="D1071" s="1">
        <v>3143</v>
      </c>
      <c r="E1071" s="1">
        <v>165056</v>
      </c>
      <c r="F1071" s="2">
        <v>59206</v>
      </c>
    </row>
    <row r="1072" spans="1:6" x14ac:dyDescent="0.35">
      <c r="A1072">
        <v>2018</v>
      </c>
      <c r="B1072" t="s">
        <v>52</v>
      </c>
      <c r="C1072" t="s">
        <v>15</v>
      </c>
      <c r="D1072" s="1">
        <v>4443</v>
      </c>
      <c r="E1072" s="1">
        <v>251454</v>
      </c>
      <c r="F1072" s="2">
        <v>59208</v>
      </c>
    </row>
    <row r="1073" spans="1:6" x14ac:dyDescent="0.35">
      <c r="A1073">
        <v>2018</v>
      </c>
      <c r="B1073" t="s">
        <v>52</v>
      </c>
      <c r="C1073" t="s">
        <v>16</v>
      </c>
      <c r="D1073" s="1">
        <v>4428</v>
      </c>
      <c r="E1073" s="1">
        <v>135510</v>
      </c>
      <c r="F1073" s="2">
        <v>75881</v>
      </c>
    </row>
    <row r="1074" spans="1:6" x14ac:dyDescent="0.35">
      <c r="A1074">
        <v>2018</v>
      </c>
      <c r="B1074" t="s">
        <v>52</v>
      </c>
      <c r="C1074" t="s">
        <v>17</v>
      </c>
      <c r="D1074" s="1">
        <v>1856</v>
      </c>
      <c r="E1074" s="1">
        <v>51836</v>
      </c>
      <c r="F1074" s="2">
        <v>55894</v>
      </c>
    </row>
    <row r="1075" spans="1:6" x14ac:dyDescent="0.35">
      <c r="A1075">
        <v>2018</v>
      </c>
      <c r="B1075" t="s">
        <v>52</v>
      </c>
      <c r="C1075" t="s">
        <v>18</v>
      </c>
      <c r="D1075" s="1">
        <v>4035</v>
      </c>
      <c r="E1075" s="1">
        <v>109683</v>
      </c>
      <c r="F1075" s="2">
        <v>78350</v>
      </c>
    </row>
    <row r="1076" spans="1:6" x14ac:dyDescent="0.35">
      <c r="A1076">
        <v>2018</v>
      </c>
      <c r="B1076" t="s">
        <v>52</v>
      </c>
      <c r="C1076" t="s">
        <v>19</v>
      </c>
      <c r="D1076" s="1">
        <v>6711</v>
      </c>
      <c r="E1076" s="1">
        <v>245091</v>
      </c>
      <c r="F1076" s="2">
        <v>88576</v>
      </c>
    </row>
    <row r="1077" spans="1:6" x14ac:dyDescent="0.35">
      <c r="A1077">
        <v>2018</v>
      </c>
      <c r="B1077" t="s">
        <v>52</v>
      </c>
      <c r="C1077" t="s">
        <v>20</v>
      </c>
      <c r="D1077" s="1">
        <v>16070</v>
      </c>
      <c r="E1077" s="1">
        <v>627751</v>
      </c>
      <c r="F1077" s="2">
        <v>67537</v>
      </c>
    </row>
    <row r="1078" spans="1:6" x14ac:dyDescent="0.35">
      <c r="A1078">
        <v>2018</v>
      </c>
      <c r="B1078" t="s">
        <v>52</v>
      </c>
      <c r="C1078" t="s">
        <v>21</v>
      </c>
      <c r="D1078" s="1">
        <v>8487</v>
      </c>
      <c r="E1078" s="1">
        <v>321908</v>
      </c>
      <c r="F1078" s="2">
        <v>67096</v>
      </c>
    </row>
    <row r="1079" spans="1:6" x14ac:dyDescent="0.35">
      <c r="A1079">
        <v>2018</v>
      </c>
      <c r="B1079" t="s">
        <v>52</v>
      </c>
      <c r="C1079" t="s">
        <v>22</v>
      </c>
      <c r="D1079" s="1">
        <v>2421</v>
      </c>
      <c r="E1079" s="1">
        <v>144816</v>
      </c>
      <c r="F1079" s="2">
        <v>49254</v>
      </c>
    </row>
    <row r="1080" spans="1:6" x14ac:dyDescent="0.35">
      <c r="A1080">
        <v>2018</v>
      </c>
      <c r="B1080" t="s">
        <v>52</v>
      </c>
      <c r="C1080" t="s">
        <v>23</v>
      </c>
      <c r="D1080" s="1">
        <v>6476</v>
      </c>
      <c r="E1080" s="1">
        <v>273163</v>
      </c>
      <c r="F1080" s="2">
        <v>58359</v>
      </c>
    </row>
    <row r="1081" spans="1:6" x14ac:dyDescent="0.35">
      <c r="A1081">
        <v>2018</v>
      </c>
      <c r="B1081" t="s">
        <v>52</v>
      </c>
      <c r="C1081" t="s">
        <v>24</v>
      </c>
      <c r="D1081" s="1">
        <v>1634</v>
      </c>
      <c r="E1081" s="1">
        <v>20560</v>
      </c>
      <c r="F1081" s="2">
        <v>50194</v>
      </c>
    </row>
    <row r="1082" spans="1:6" x14ac:dyDescent="0.35">
      <c r="A1082">
        <v>2018</v>
      </c>
      <c r="B1082" t="s">
        <v>52</v>
      </c>
      <c r="C1082" t="s">
        <v>25</v>
      </c>
      <c r="D1082" s="1">
        <v>1988</v>
      </c>
      <c r="E1082" s="1">
        <v>99807</v>
      </c>
      <c r="F1082" s="2">
        <v>51566</v>
      </c>
    </row>
    <row r="1083" spans="1:6" x14ac:dyDescent="0.35">
      <c r="A1083">
        <v>2018</v>
      </c>
      <c r="B1083" t="s">
        <v>52</v>
      </c>
      <c r="C1083" t="s">
        <v>26</v>
      </c>
      <c r="D1083" s="1">
        <v>2066</v>
      </c>
      <c r="E1083" s="1">
        <v>55405</v>
      </c>
      <c r="F1083" s="2">
        <v>58543</v>
      </c>
    </row>
    <row r="1084" spans="1:6" x14ac:dyDescent="0.35">
      <c r="A1084">
        <v>2018</v>
      </c>
      <c r="B1084" t="s">
        <v>52</v>
      </c>
      <c r="C1084" t="s">
        <v>27</v>
      </c>
      <c r="D1084" s="1">
        <v>2032</v>
      </c>
      <c r="E1084" s="1">
        <v>70582</v>
      </c>
      <c r="F1084" s="2">
        <v>71722</v>
      </c>
    </row>
    <row r="1085" spans="1:6" x14ac:dyDescent="0.35">
      <c r="A1085">
        <v>2018</v>
      </c>
      <c r="B1085" t="s">
        <v>52</v>
      </c>
      <c r="C1085" t="s">
        <v>28</v>
      </c>
      <c r="D1085" s="1">
        <v>8976</v>
      </c>
      <c r="E1085" s="1">
        <v>245593</v>
      </c>
      <c r="F1085" s="2">
        <v>80088</v>
      </c>
    </row>
    <row r="1086" spans="1:6" x14ac:dyDescent="0.35">
      <c r="A1086">
        <v>2018</v>
      </c>
      <c r="B1086" t="s">
        <v>52</v>
      </c>
      <c r="C1086" t="s">
        <v>29</v>
      </c>
      <c r="D1086" s="1">
        <v>1768</v>
      </c>
      <c r="E1086" s="1">
        <v>27145</v>
      </c>
      <c r="F1086" s="2">
        <v>53139</v>
      </c>
    </row>
    <row r="1087" spans="1:6" x14ac:dyDescent="0.35">
      <c r="A1087">
        <v>2018</v>
      </c>
      <c r="B1087" t="s">
        <v>52</v>
      </c>
      <c r="C1087" t="s">
        <v>30</v>
      </c>
      <c r="D1087" s="1">
        <v>16910</v>
      </c>
      <c r="E1087" s="1">
        <v>441590</v>
      </c>
      <c r="F1087" s="2">
        <v>67614</v>
      </c>
    </row>
    <row r="1088" spans="1:6" x14ac:dyDescent="0.35">
      <c r="A1088">
        <v>2018</v>
      </c>
      <c r="B1088" t="s">
        <v>52</v>
      </c>
      <c r="C1088" t="s">
        <v>31</v>
      </c>
      <c r="D1088" s="1">
        <v>10219</v>
      </c>
      <c r="E1088" s="1">
        <v>474932</v>
      </c>
      <c r="F1088" s="2">
        <v>59827</v>
      </c>
    </row>
    <row r="1089" spans="1:6" x14ac:dyDescent="0.35">
      <c r="A1089">
        <v>2018</v>
      </c>
      <c r="B1089" t="s">
        <v>52</v>
      </c>
      <c r="C1089" t="s">
        <v>32</v>
      </c>
      <c r="D1089">
        <v>807</v>
      </c>
      <c r="E1089" s="1">
        <v>25906</v>
      </c>
      <c r="F1089" s="2">
        <v>53882</v>
      </c>
    </row>
    <row r="1090" spans="1:6" x14ac:dyDescent="0.35">
      <c r="A1090">
        <v>2018</v>
      </c>
      <c r="B1090" t="s">
        <v>52</v>
      </c>
      <c r="C1090" t="s">
        <v>33</v>
      </c>
      <c r="D1090" s="1">
        <v>15409</v>
      </c>
      <c r="E1090" s="1">
        <v>698950</v>
      </c>
      <c r="F1090" s="2">
        <v>61487</v>
      </c>
    </row>
    <row r="1091" spans="1:6" x14ac:dyDescent="0.35">
      <c r="A1091">
        <v>2018</v>
      </c>
      <c r="B1091" t="s">
        <v>52</v>
      </c>
      <c r="C1091" t="s">
        <v>34</v>
      </c>
      <c r="D1091" s="1">
        <v>4164</v>
      </c>
      <c r="E1091" s="1">
        <v>137739</v>
      </c>
      <c r="F1091" s="2">
        <v>58770</v>
      </c>
    </row>
    <row r="1092" spans="1:6" x14ac:dyDescent="0.35">
      <c r="A1092">
        <v>2018</v>
      </c>
      <c r="B1092" t="s">
        <v>52</v>
      </c>
      <c r="C1092" t="s">
        <v>35</v>
      </c>
      <c r="D1092" s="1">
        <v>6240</v>
      </c>
      <c r="E1092" s="1">
        <v>194693</v>
      </c>
      <c r="F1092" s="2">
        <v>70641</v>
      </c>
    </row>
    <row r="1093" spans="1:6" x14ac:dyDescent="0.35">
      <c r="A1093">
        <v>2018</v>
      </c>
      <c r="B1093" t="s">
        <v>52</v>
      </c>
      <c r="C1093" t="s">
        <v>36</v>
      </c>
      <c r="D1093" s="1">
        <v>14407</v>
      </c>
      <c r="E1093" s="1">
        <v>569811</v>
      </c>
      <c r="F1093" s="2">
        <v>62561</v>
      </c>
    </row>
    <row r="1094" spans="1:6" x14ac:dyDescent="0.35">
      <c r="A1094">
        <v>2018</v>
      </c>
      <c r="B1094" t="s">
        <v>52</v>
      </c>
      <c r="C1094" t="s">
        <v>37</v>
      </c>
      <c r="D1094" s="1">
        <v>1572</v>
      </c>
      <c r="E1094" s="1">
        <v>40340</v>
      </c>
      <c r="F1094" s="2">
        <v>58468</v>
      </c>
    </row>
    <row r="1095" spans="1:6" x14ac:dyDescent="0.35">
      <c r="A1095">
        <v>2018</v>
      </c>
      <c r="B1095" t="s">
        <v>52</v>
      </c>
      <c r="C1095" t="s">
        <v>38</v>
      </c>
      <c r="D1095" s="1">
        <v>6087</v>
      </c>
      <c r="E1095" s="1">
        <v>249719</v>
      </c>
      <c r="F1095" s="2">
        <v>59522</v>
      </c>
    </row>
    <row r="1096" spans="1:6" x14ac:dyDescent="0.35">
      <c r="A1096">
        <v>2018</v>
      </c>
      <c r="B1096" t="s">
        <v>52</v>
      </c>
      <c r="C1096" t="s">
        <v>39</v>
      </c>
      <c r="D1096" s="1">
        <v>1084</v>
      </c>
      <c r="E1096" s="1">
        <v>44442</v>
      </c>
      <c r="F1096" s="2">
        <v>49320</v>
      </c>
    </row>
    <row r="1097" spans="1:6" x14ac:dyDescent="0.35">
      <c r="A1097">
        <v>2018</v>
      </c>
      <c r="B1097" t="s">
        <v>52</v>
      </c>
      <c r="C1097" t="s">
        <v>40</v>
      </c>
      <c r="D1097" s="1">
        <v>7051</v>
      </c>
      <c r="E1097" s="1">
        <v>351073</v>
      </c>
      <c r="F1097" s="2">
        <v>59495</v>
      </c>
    </row>
    <row r="1098" spans="1:6" x14ac:dyDescent="0.35">
      <c r="A1098">
        <v>2018</v>
      </c>
      <c r="B1098" t="s">
        <v>52</v>
      </c>
      <c r="C1098" t="s">
        <v>41</v>
      </c>
      <c r="D1098" s="1">
        <v>24758</v>
      </c>
      <c r="E1098" s="1">
        <v>879509</v>
      </c>
      <c r="F1098" s="2">
        <v>77648</v>
      </c>
    </row>
    <row r="1099" spans="1:6" x14ac:dyDescent="0.35">
      <c r="A1099">
        <v>2018</v>
      </c>
      <c r="B1099" t="s">
        <v>52</v>
      </c>
      <c r="C1099" t="s">
        <v>42</v>
      </c>
      <c r="D1099" s="1">
        <v>4386</v>
      </c>
      <c r="E1099" s="1">
        <v>132149</v>
      </c>
      <c r="F1099" s="2">
        <v>58006</v>
      </c>
    </row>
    <row r="1100" spans="1:6" x14ac:dyDescent="0.35">
      <c r="A1100">
        <v>2018</v>
      </c>
      <c r="B1100" t="s">
        <v>52</v>
      </c>
      <c r="C1100" t="s">
        <v>43</v>
      </c>
      <c r="D1100" s="1">
        <v>1108</v>
      </c>
      <c r="E1100" s="1">
        <v>29827</v>
      </c>
      <c r="F1100" s="2">
        <v>59390</v>
      </c>
    </row>
    <row r="1101" spans="1:6" x14ac:dyDescent="0.35">
      <c r="A1101">
        <v>2018</v>
      </c>
      <c r="B1101" t="s">
        <v>52</v>
      </c>
      <c r="C1101" t="s">
        <v>44</v>
      </c>
      <c r="D1101" s="1">
        <v>6750</v>
      </c>
      <c r="E1101" s="1">
        <v>238645</v>
      </c>
      <c r="F1101" s="2">
        <v>59974</v>
      </c>
    </row>
    <row r="1102" spans="1:6" x14ac:dyDescent="0.35">
      <c r="A1102">
        <v>2018</v>
      </c>
      <c r="B1102" t="s">
        <v>52</v>
      </c>
      <c r="C1102" t="s">
        <v>45</v>
      </c>
      <c r="D1102" s="1">
        <v>7798</v>
      </c>
      <c r="E1102" s="1">
        <v>284112</v>
      </c>
      <c r="F1102" s="2">
        <v>79321</v>
      </c>
    </row>
    <row r="1103" spans="1:6" x14ac:dyDescent="0.35">
      <c r="A1103">
        <v>2018</v>
      </c>
      <c r="B1103" t="s">
        <v>52</v>
      </c>
      <c r="C1103" t="s">
        <v>46</v>
      </c>
      <c r="D1103" s="1">
        <v>1268</v>
      </c>
      <c r="E1103" s="1">
        <v>46952</v>
      </c>
      <c r="F1103" s="2">
        <v>60459</v>
      </c>
    </row>
    <row r="1104" spans="1:6" x14ac:dyDescent="0.35">
      <c r="A1104">
        <v>2018</v>
      </c>
      <c r="B1104" t="s">
        <v>52</v>
      </c>
      <c r="C1104" t="s">
        <v>47</v>
      </c>
      <c r="D1104" s="1">
        <v>9432</v>
      </c>
      <c r="E1104" s="1">
        <v>475510</v>
      </c>
      <c r="F1104" s="2">
        <v>58047</v>
      </c>
    </row>
    <row r="1105" spans="1:6" x14ac:dyDescent="0.35">
      <c r="A1105">
        <v>2018</v>
      </c>
      <c r="B1105" t="s">
        <v>52</v>
      </c>
      <c r="C1105" t="s">
        <v>48</v>
      </c>
      <c r="D1105">
        <v>600</v>
      </c>
      <c r="E1105" s="1">
        <v>9721</v>
      </c>
      <c r="F1105" s="2">
        <v>67060</v>
      </c>
    </row>
    <row r="1106" spans="1:6" x14ac:dyDescent="0.35">
      <c r="A1106">
        <v>2018</v>
      </c>
      <c r="B1106" t="s">
        <v>54</v>
      </c>
      <c r="C1106" t="s">
        <v>1</v>
      </c>
      <c r="D1106" s="1">
        <v>32481</v>
      </c>
      <c r="E1106" s="1">
        <v>377561</v>
      </c>
      <c r="F1106" s="2">
        <v>41970</v>
      </c>
    </row>
    <row r="1107" spans="1:6" x14ac:dyDescent="0.35">
      <c r="A1107">
        <v>2018</v>
      </c>
      <c r="B1107" t="s">
        <v>54</v>
      </c>
      <c r="C1107" t="s">
        <v>2</v>
      </c>
      <c r="D1107" s="1">
        <v>31775</v>
      </c>
      <c r="E1107" s="1">
        <v>532318</v>
      </c>
      <c r="F1107" s="2">
        <v>46734</v>
      </c>
    </row>
    <row r="1108" spans="1:6" x14ac:dyDescent="0.35">
      <c r="A1108">
        <v>2018</v>
      </c>
      <c r="B1108" t="s">
        <v>54</v>
      </c>
      <c r="C1108" t="s">
        <v>3</v>
      </c>
      <c r="D1108" s="1">
        <v>21642</v>
      </c>
      <c r="E1108" s="1">
        <v>248584</v>
      </c>
      <c r="F1108" s="2">
        <v>41450</v>
      </c>
    </row>
    <row r="1109" spans="1:6" x14ac:dyDescent="0.35">
      <c r="A1109">
        <v>2018</v>
      </c>
      <c r="B1109" t="s">
        <v>54</v>
      </c>
      <c r="C1109" t="s">
        <v>4</v>
      </c>
      <c r="D1109" s="1">
        <v>196511</v>
      </c>
      <c r="E1109" s="1">
        <v>3033009</v>
      </c>
      <c r="F1109" s="2">
        <v>52020</v>
      </c>
    </row>
    <row r="1110" spans="1:6" x14ac:dyDescent="0.35">
      <c r="A1110">
        <v>2018</v>
      </c>
      <c r="B1110" t="s">
        <v>54</v>
      </c>
      <c r="C1110" t="s">
        <v>5</v>
      </c>
      <c r="D1110" s="1">
        <v>35891</v>
      </c>
      <c r="E1110" s="1">
        <v>466602</v>
      </c>
      <c r="F1110" s="2">
        <v>50043</v>
      </c>
    </row>
    <row r="1111" spans="1:6" x14ac:dyDescent="0.35">
      <c r="A1111">
        <v>2018</v>
      </c>
      <c r="B1111" t="s">
        <v>54</v>
      </c>
      <c r="C1111" t="s">
        <v>6</v>
      </c>
      <c r="D1111" s="1">
        <v>24902</v>
      </c>
      <c r="E1111" s="1">
        <v>296173</v>
      </c>
      <c r="F1111" s="2">
        <v>51041</v>
      </c>
    </row>
    <row r="1112" spans="1:6" x14ac:dyDescent="0.35">
      <c r="A1112">
        <v>2018</v>
      </c>
      <c r="B1112" t="s">
        <v>54</v>
      </c>
      <c r="C1112" t="s">
        <v>7</v>
      </c>
      <c r="D1112" s="1">
        <v>6850</v>
      </c>
      <c r="E1112" s="1">
        <v>79300</v>
      </c>
      <c r="F1112" s="2">
        <v>40843</v>
      </c>
    </row>
    <row r="1113" spans="1:6" x14ac:dyDescent="0.35">
      <c r="A1113">
        <v>2018</v>
      </c>
      <c r="B1113" t="s">
        <v>54</v>
      </c>
      <c r="C1113" t="s">
        <v>8</v>
      </c>
      <c r="D1113" s="1">
        <v>139486</v>
      </c>
      <c r="E1113" s="1">
        <v>1772605</v>
      </c>
      <c r="F1113" s="2">
        <v>44766</v>
      </c>
    </row>
    <row r="1114" spans="1:6" x14ac:dyDescent="0.35">
      <c r="A1114">
        <v>2018</v>
      </c>
      <c r="B1114" t="s">
        <v>54</v>
      </c>
      <c r="C1114" t="s">
        <v>9</v>
      </c>
      <c r="D1114" s="1">
        <v>60996</v>
      </c>
      <c r="E1114" s="1">
        <v>934259</v>
      </c>
      <c r="F1114" s="2">
        <v>49352</v>
      </c>
    </row>
    <row r="1115" spans="1:6" x14ac:dyDescent="0.35">
      <c r="A1115">
        <v>2018</v>
      </c>
      <c r="B1115" t="s">
        <v>54</v>
      </c>
      <c r="C1115" t="s">
        <v>10</v>
      </c>
      <c r="D1115" s="1">
        <v>11969</v>
      </c>
      <c r="E1115" s="1">
        <v>139473</v>
      </c>
      <c r="F1115" s="2">
        <v>39972</v>
      </c>
    </row>
    <row r="1116" spans="1:6" x14ac:dyDescent="0.35">
      <c r="A1116">
        <v>2018</v>
      </c>
      <c r="B1116" t="s">
        <v>54</v>
      </c>
      <c r="C1116" t="s">
        <v>11</v>
      </c>
      <c r="D1116" s="1">
        <v>78063</v>
      </c>
      <c r="E1116" s="1">
        <v>1192654</v>
      </c>
      <c r="F1116" s="2">
        <v>51570</v>
      </c>
    </row>
    <row r="1117" spans="1:6" x14ac:dyDescent="0.35">
      <c r="A1117">
        <v>2018</v>
      </c>
      <c r="B1117" t="s">
        <v>54</v>
      </c>
      <c r="C1117" t="s">
        <v>12</v>
      </c>
      <c r="D1117" s="1">
        <v>40681</v>
      </c>
      <c r="E1117" s="1">
        <v>591234</v>
      </c>
      <c r="F1117" s="2">
        <v>42092</v>
      </c>
    </row>
    <row r="1118" spans="1:6" x14ac:dyDescent="0.35">
      <c r="A1118">
        <v>2018</v>
      </c>
      <c r="B1118" t="s">
        <v>54</v>
      </c>
      <c r="C1118" t="s">
        <v>13</v>
      </c>
      <c r="D1118" s="1">
        <v>23521</v>
      </c>
      <c r="E1118" s="1">
        <v>309603</v>
      </c>
      <c r="F1118" s="2">
        <v>40539</v>
      </c>
    </row>
    <row r="1119" spans="1:6" x14ac:dyDescent="0.35">
      <c r="A1119">
        <v>2018</v>
      </c>
      <c r="B1119" t="s">
        <v>54</v>
      </c>
      <c r="C1119" t="s">
        <v>14</v>
      </c>
      <c r="D1119" s="1">
        <v>20370</v>
      </c>
      <c r="E1119" s="1">
        <v>263858</v>
      </c>
      <c r="F1119" s="2">
        <v>42235</v>
      </c>
    </row>
    <row r="1120" spans="1:6" x14ac:dyDescent="0.35">
      <c r="A1120">
        <v>2018</v>
      </c>
      <c r="B1120" t="s">
        <v>54</v>
      </c>
      <c r="C1120" t="s">
        <v>15</v>
      </c>
      <c r="D1120" s="1">
        <v>28056</v>
      </c>
      <c r="E1120" s="1">
        <v>399946</v>
      </c>
      <c r="F1120" s="2">
        <v>42623</v>
      </c>
    </row>
    <row r="1121" spans="1:6" x14ac:dyDescent="0.35">
      <c r="A1121">
        <v>2018</v>
      </c>
      <c r="B1121" t="s">
        <v>54</v>
      </c>
      <c r="C1121" t="s">
        <v>16</v>
      </c>
      <c r="D1121" s="1">
        <v>30545</v>
      </c>
      <c r="E1121" s="1">
        <v>377555</v>
      </c>
      <c r="F1121" s="2">
        <v>42196</v>
      </c>
    </row>
    <row r="1122" spans="1:6" x14ac:dyDescent="0.35">
      <c r="A1122">
        <v>2018</v>
      </c>
      <c r="B1122" t="s">
        <v>54</v>
      </c>
      <c r="C1122" t="s">
        <v>17</v>
      </c>
      <c r="D1122" s="1">
        <v>10761</v>
      </c>
      <c r="E1122" s="1">
        <v>118191</v>
      </c>
      <c r="F1122" s="2">
        <v>37589</v>
      </c>
    </row>
    <row r="1123" spans="1:6" x14ac:dyDescent="0.35">
      <c r="A1123">
        <v>2018</v>
      </c>
      <c r="B1123" t="s">
        <v>54</v>
      </c>
      <c r="C1123" t="s">
        <v>18</v>
      </c>
      <c r="D1123" s="1">
        <v>32767</v>
      </c>
      <c r="E1123" s="1">
        <v>462590</v>
      </c>
      <c r="F1123" s="2">
        <v>46648</v>
      </c>
    </row>
    <row r="1124" spans="1:6" x14ac:dyDescent="0.35">
      <c r="A1124">
        <v>2018</v>
      </c>
      <c r="B1124" t="s">
        <v>54</v>
      </c>
      <c r="C1124" t="s">
        <v>19</v>
      </c>
      <c r="D1124" s="1">
        <v>42171</v>
      </c>
      <c r="E1124" s="1">
        <v>577061</v>
      </c>
      <c r="F1124" s="2">
        <v>52937</v>
      </c>
    </row>
    <row r="1125" spans="1:6" x14ac:dyDescent="0.35">
      <c r="A1125">
        <v>2018</v>
      </c>
      <c r="B1125" t="s">
        <v>54</v>
      </c>
      <c r="C1125" t="s">
        <v>20</v>
      </c>
      <c r="D1125" s="1">
        <v>52459</v>
      </c>
      <c r="E1125" s="1">
        <v>786892</v>
      </c>
      <c r="F1125" s="2">
        <v>47200</v>
      </c>
    </row>
    <row r="1126" spans="1:6" x14ac:dyDescent="0.35">
      <c r="A1126">
        <v>2018</v>
      </c>
      <c r="B1126" t="s">
        <v>54</v>
      </c>
      <c r="C1126" t="s">
        <v>21</v>
      </c>
      <c r="D1126" s="1">
        <v>37272</v>
      </c>
      <c r="E1126" s="1">
        <v>531669</v>
      </c>
      <c r="F1126" s="2">
        <v>49570</v>
      </c>
    </row>
    <row r="1127" spans="1:6" x14ac:dyDescent="0.35">
      <c r="A1127">
        <v>2018</v>
      </c>
      <c r="B1127" t="s">
        <v>54</v>
      </c>
      <c r="C1127" t="s">
        <v>22</v>
      </c>
      <c r="D1127" s="1">
        <v>19763</v>
      </c>
      <c r="E1127" s="1">
        <v>229107</v>
      </c>
      <c r="F1127" s="2">
        <v>36497</v>
      </c>
    </row>
    <row r="1128" spans="1:6" x14ac:dyDescent="0.35">
      <c r="A1128">
        <v>2018</v>
      </c>
      <c r="B1128" t="s">
        <v>54</v>
      </c>
      <c r="C1128" t="s">
        <v>23</v>
      </c>
      <c r="D1128" s="1">
        <v>38808</v>
      </c>
      <c r="E1128" s="1">
        <v>537150</v>
      </c>
      <c r="F1128" s="2">
        <v>42469</v>
      </c>
    </row>
    <row r="1129" spans="1:6" x14ac:dyDescent="0.35">
      <c r="A1129">
        <v>2018</v>
      </c>
      <c r="B1129" t="s">
        <v>54</v>
      </c>
      <c r="C1129" t="s">
        <v>24</v>
      </c>
      <c r="D1129" s="1">
        <v>9250</v>
      </c>
      <c r="E1129" s="1">
        <v>91355</v>
      </c>
      <c r="F1129" s="2">
        <v>39170</v>
      </c>
    </row>
    <row r="1130" spans="1:6" x14ac:dyDescent="0.35">
      <c r="A1130">
        <v>2018</v>
      </c>
      <c r="B1130" t="s">
        <v>54</v>
      </c>
      <c r="C1130" t="s">
        <v>25</v>
      </c>
      <c r="D1130" s="1">
        <v>14923</v>
      </c>
      <c r="E1130" s="1">
        <v>189793</v>
      </c>
      <c r="F1130" s="2">
        <v>39891</v>
      </c>
    </row>
    <row r="1131" spans="1:6" x14ac:dyDescent="0.35">
      <c r="A1131">
        <v>2018</v>
      </c>
      <c r="B1131" t="s">
        <v>54</v>
      </c>
      <c r="C1131" t="s">
        <v>26</v>
      </c>
      <c r="D1131" s="1">
        <v>15829</v>
      </c>
      <c r="E1131" s="1">
        <v>254417</v>
      </c>
      <c r="F1131" s="2">
        <v>44190</v>
      </c>
    </row>
    <row r="1132" spans="1:6" x14ac:dyDescent="0.35">
      <c r="A1132">
        <v>2018</v>
      </c>
      <c r="B1132" t="s">
        <v>54</v>
      </c>
      <c r="C1132" t="s">
        <v>27</v>
      </c>
      <c r="D1132" s="1">
        <v>12509</v>
      </c>
      <c r="E1132" s="1">
        <v>139183</v>
      </c>
      <c r="F1132" s="2">
        <v>47777</v>
      </c>
    </row>
    <row r="1133" spans="1:6" x14ac:dyDescent="0.35">
      <c r="A1133">
        <v>2018</v>
      </c>
      <c r="B1133" t="s">
        <v>54</v>
      </c>
      <c r="C1133" t="s">
        <v>28</v>
      </c>
      <c r="D1133" s="1">
        <v>54238</v>
      </c>
      <c r="E1133" s="1">
        <v>876344</v>
      </c>
      <c r="F1133" s="2">
        <v>53723</v>
      </c>
    </row>
    <row r="1134" spans="1:6" x14ac:dyDescent="0.35">
      <c r="A1134">
        <v>2018</v>
      </c>
      <c r="B1134" t="s">
        <v>54</v>
      </c>
      <c r="C1134" t="s">
        <v>29</v>
      </c>
      <c r="D1134" s="1">
        <v>10758</v>
      </c>
      <c r="E1134" s="1">
        <v>135970</v>
      </c>
      <c r="F1134" s="2">
        <v>38078</v>
      </c>
    </row>
    <row r="1135" spans="1:6" x14ac:dyDescent="0.35">
      <c r="A1135">
        <v>2018</v>
      </c>
      <c r="B1135" t="s">
        <v>54</v>
      </c>
      <c r="C1135" t="s">
        <v>30</v>
      </c>
      <c r="D1135" s="1">
        <v>123741</v>
      </c>
      <c r="E1135" s="1">
        <v>1554768</v>
      </c>
      <c r="F1135" s="2">
        <v>51832</v>
      </c>
    </row>
    <row r="1136" spans="1:6" x14ac:dyDescent="0.35">
      <c r="A1136">
        <v>2018</v>
      </c>
      <c r="B1136" t="s">
        <v>54</v>
      </c>
      <c r="C1136" t="s">
        <v>31</v>
      </c>
      <c r="D1136" s="1">
        <v>61525</v>
      </c>
      <c r="E1136" s="1">
        <v>830550</v>
      </c>
      <c r="F1136" s="2">
        <v>43092</v>
      </c>
    </row>
    <row r="1137" spans="1:6" x14ac:dyDescent="0.35">
      <c r="A1137">
        <v>2018</v>
      </c>
      <c r="B1137" t="s">
        <v>54</v>
      </c>
      <c r="C1137" t="s">
        <v>32</v>
      </c>
      <c r="D1137" s="1">
        <v>7753</v>
      </c>
      <c r="E1137" s="1">
        <v>91635</v>
      </c>
      <c r="F1137" s="2">
        <v>49819</v>
      </c>
    </row>
    <row r="1138" spans="1:6" x14ac:dyDescent="0.35">
      <c r="A1138">
        <v>2018</v>
      </c>
      <c r="B1138" t="s">
        <v>54</v>
      </c>
      <c r="C1138" t="s">
        <v>33</v>
      </c>
      <c r="D1138" s="1">
        <v>68615</v>
      </c>
      <c r="E1138" s="1">
        <v>1017249</v>
      </c>
      <c r="F1138" s="2">
        <v>44247</v>
      </c>
    </row>
    <row r="1139" spans="1:6" x14ac:dyDescent="0.35">
      <c r="A1139">
        <v>2018</v>
      </c>
      <c r="B1139" t="s">
        <v>54</v>
      </c>
      <c r="C1139" t="s">
        <v>34</v>
      </c>
      <c r="D1139" s="1">
        <v>23748</v>
      </c>
      <c r="E1139" s="1">
        <v>297631</v>
      </c>
      <c r="F1139" s="2">
        <v>41554</v>
      </c>
    </row>
    <row r="1140" spans="1:6" x14ac:dyDescent="0.35">
      <c r="A1140">
        <v>2018</v>
      </c>
      <c r="B1140" t="s">
        <v>54</v>
      </c>
      <c r="C1140" t="s">
        <v>35</v>
      </c>
      <c r="D1140" s="1">
        <v>26503</v>
      </c>
      <c r="E1140" s="1">
        <v>349656</v>
      </c>
      <c r="F1140" s="2">
        <v>44347</v>
      </c>
    </row>
    <row r="1141" spans="1:6" x14ac:dyDescent="0.35">
      <c r="A1141">
        <v>2018</v>
      </c>
      <c r="B1141" t="s">
        <v>54</v>
      </c>
      <c r="C1141" t="s">
        <v>36</v>
      </c>
      <c r="D1141" s="1">
        <v>74845</v>
      </c>
      <c r="E1141" s="1">
        <v>1117054</v>
      </c>
      <c r="F1141" s="2">
        <v>45000</v>
      </c>
    </row>
    <row r="1142" spans="1:6" x14ac:dyDescent="0.35">
      <c r="A1142">
        <v>2018</v>
      </c>
      <c r="B1142" t="s">
        <v>54</v>
      </c>
      <c r="C1142" t="s">
        <v>37</v>
      </c>
      <c r="D1142" s="1">
        <v>7658</v>
      </c>
      <c r="E1142" s="1">
        <v>76762</v>
      </c>
      <c r="F1142" s="2">
        <v>43902</v>
      </c>
    </row>
    <row r="1143" spans="1:6" x14ac:dyDescent="0.35">
      <c r="A1143">
        <v>2018</v>
      </c>
      <c r="B1143" t="s">
        <v>54</v>
      </c>
      <c r="C1143" t="s">
        <v>38</v>
      </c>
      <c r="D1143" s="1">
        <v>30013</v>
      </c>
      <c r="E1143" s="1">
        <v>402308</v>
      </c>
      <c r="F1143" s="2">
        <v>39429</v>
      </c>
    </row>
    <row r="1144" spans="1:6" x14ac:dyDescent="0.35">
      <c r="A1144">
        <v>2018</v>
      </c>
      <c r="B1144" t="s">
        <v>54</v>
      </c>
      <c r="C1144" t="s">
        <v>39</v>
      </c>
      <c r="D1144" s="1">
        <v>8059</v>
      </c>
      <c r="E1144" s="1">
        <v>85734</v>
      </c>
      <c r="F1144" s="2">
        <v>39650</v>
      </c>
    </row>
    <row r="1145" spans="1:6" x14ac:dyDescent="0.35">
      <c r="A1145">
        <v>2018</v>
      </c>
      <c r="B1145" t="s">
        <v>54</v>
      </c>
      <c r="C1145" t="s">
        <v>40</v>
      </c>
      <c r="D1145" s="1">
        <v>40040</v>
      </c>
      <c r="E1145" s="1">
        <v>623566</v>
      </c>
      <c r="F1145" s="2">
        <v>46137</v>
      </c>
    </row>
    <row r="1146" spans="1:6" x14ac:dyDescent="0.35">
      <c r="A1146">
        <v>2018</v>
      </c>
      <c r="B1146" t="s">
        <v>54</v>
      </c>
      <c r="C1146" t="s">
        <v>41</v>
      </c>
      <c r="D1146" s="1">
        <v>147447</v>
      </c>
      <c r="E1146" s="1">
        <v>2465009</v>
      </c>
      <c r="F1146" s="2">
        <v>52337</v>
      </c>
    </row>
    <row r="1147" spans="1:6" x14ac:dyDescent="0.35">
      <c r="A1147">
        <v>2018</v>
      </c>
      <c r="B1147" t="s">
        <v>54</v>
      </c>
      <c r="C1147" t="s">
        <v>42</v>
      </c>
      <c r="D1147" s="1">
        <v>19531</v>
      </c>
      <c r="E1147" s="1">
        <v>284283</v>
      </c>
      <c r="F1147" s="2">
        <v>44163</v>
      </c>
    </row>
    <row r="1148" spans="1:6" x14ac:dyDescent="0.35">
      <c r="A1148">
        <v>2018</v>
      </c>
      <c r="B1148" t="s">
        <v>54</v>
      </c>
      <c r="C1148" t="s">
        <v>43</v>
      </c>
      <c r="D1148" s="1">
        <v>5084</v>
      </c>
      <c r="E1148" s="1">
        <v>54476</v>
      </c>
      <c r="F1148" s="2">
        <v>40351</v>
      </c>
    </row>
    <row r="1149" spans="1:6" x14ac:dyDescent="0.35">
      <c r="A1149">
        <v>2018</v>
      </c>
      <c r="B1149" t="s">
        <v>54</v>
      </c>
      <c r="C1149" t="s">
        <v>44</v>
      </c>
      <c r="D1149" s="1">
        <v>43180</v>
      </c>
      <c r="E1149" s="1">
        <v>650233</v>
      </c>
      <c r="F1149" s="2">
        <v>43886</v>
      </c>
    </row>
    <row r="1150" spans="1:6" x14ac:dyDescent="0.35">
      <c r="A1150">
        <v>2018</v>
      </c>
      <c r="B1150" t="s">
        <v>54</v>
      </c>
      <c r="C1150" t="s">
        <v>45</v>
      </c>
      <c r="D1150" s="1">
        <v>39324</v>
      </c>
      <c r="E1150" s="1">
        <v>621384</v>
      </c>
      <c r="F1150" s="2">
        <v>63994</v>
      </c>
    </row>
    <row r="1151" spans="1:6" x14ac:dyDescent="0.35">
      <c r="A1151">
        <v>2018</v>
      </c>
      <c r="B1151" t="s">
        <v>54</v>
      </c>
      <c r="C1151" t="s">
        <v>46</v>
      </c>
      <c r="D1151" s="1">
        <v>10925</v>
      </c>
      <c r="E1151" s="1">
        <v>128211</v>
      </c>
      <c r="F1151" s="2">
        <v>38698</v>
      </c>
    </row>
    <row r="1152" spans="1:6" x14ac:dyDescent="0.35">
      <c r="A1152">
        <v>2018</v>
      </c>
      <c r="B1152" t="s">
        <v>54</v>
      </c>
      <c r="C1152" t="s">
        <v>47</v>
      </c>
      <c r="D1152" s="1">
        <v>36496</v>
      </c>
      <c r="E1152" s="1">
        <v>541333</v>
      </c>
      <c r="F1152" s="2">
        <v>41512</v>
      </c>
    </row>
    <row r="1153" spans="1:6" x14ac:dyDescent="0.35">
      <c r="A1153">
        <v>2018</v>
      </c>
      <c r="B1153" t="s">
        <v>54</v>
      </c>
      <c r="C1153" t="s">
        <v>48</v>
      </c>
      <c r="D1153" s="1">
        <v>4830</v>
      </c>
      <c r="E1153" s="1">
        <v>49819</v>
      </c>
      <c r="F1153" s="2">
        <v>42737</v>
      </c>
    </row>
    <row r="1154" spans="1:6" x14ac:dyDescent="0.35">
      <c r="A1154">
        <v>2018</v>
      </c>
      <c r="B1154" t="s">
        <v>53</v>
      </c>
      <c r="C1154" t="s">
        <v>1</v>
      </c>
      <c r="D1154" s="1">
        <v>2168</v>
      </c>
      <c r="E1154" s="1">
        <v>21030</v>
      </c>
      <c r="F1154" s="2">
        <v>60025</v>
      </c>
    </row>
    <row r="1155" spans="1:6" x14ac:dyDescent="0.35">
      <c r="A1155">
        <v>2018</v>
      </c>
      <c r="B1155" t="s">
        <v>53</v>
      </c>
      <c r="C1155" t="s">
        <v>2</v>
      </c>
      <c r="D1155" s="1">
        <v>3113</v>
      </c>
      <c r="E1155" s="1">
        <v>47340</v>
      </c>
      <c r="F1155" s="2">
        <v>75499</v>
      </c>
    </row>
    <row r="1156" spans="1:6" x14ac:dyDescent="0.35">
      <c r="A1156">
        <v>2018</v>
      </c>
      <c r="B1156" t="s">
        <v>53</v>
      </c>
      <c r="C1156" t="s">
        <v>3</v>
      </c>
      <c r="D1156" s="1">
        <v>1210</v>
      </c>
      <c r="E1156" s="1">
        <v>10913</v>
      </c>
      <c r="F1156" s="2">
        <v>53828</v>
      </c>
    </row>
    <row r="1157" spans="1:6" x14ac:dyDescent="0.35">
      <c r="A1157">
        <v>2018</v>
      </c>
      <c r="B1157" t="s">
        <v>53</v>
      </c>
      <c r="C1157" t="s">
        <v>4</v>
      </c>
      <c r="D1157" s="1">
        <v>26592</v>
      </c>
      <c r="E1157" s="1">
        <v>525771</v>
      </c>
      <c r="F1157" s="2">
        <v>188173</v>
      </c>
    </row>
    <row r="1158" spans="1:6" x14ac:dyDescent="0.35">
      <c r="A1158">
        <v>2018</v>
      </c>
      <c r="B1158" t="s">
        <v>53</v>
      </c>
      <c r="C1158" t="s">
        <v>5</v>
      </c>
      <c r="D1158" s="1">
        <v>4173</v>
      </c>
      <c r="E1158" s="1">
        <v>75076</v>
      </c>
      <c r="F1158" s="2">
        <v>100735</v>
      </c>
    </row>
    <row r="1159" spans="1:6" x14ac:dyDescent="0.35">
      <c r="A1159">
        <v>2018</v>
      </c>
      <c r="B1159" t="s">
        <v>53</v>
      </c>
      <c r="C1159" t="s">
        <v>6</v>
      </c>
      <c r="D1159" s="1">
        <v>2306</v>
      </c>
      <c r="E1159" s="1">
        <v>31734</v>
      </c>
      <c r="F1159" s="2">
        <v>110642</v>
      </c>
    </row>
    <row r="1160" spans="1:6" x14ac:dyDescent="0.35">
      <c r="A1160">
        <v>2018</v>
      </c>
      <c r="B1160" t="s">
        <v>53</v>
      </c>
      <c r="C1160" t="s">
        <v>7</v>
      </c>
      <c r="D1160">
        <v>433</v>
      </c>
      <c r="E1160" s="1">
        <v>4065</v>
      </c>
      <c r="F1160" s="2">
        <v>65782</v>
      </c>
    </row>
    <row r="1161" spans="1:6" x14ac:dyDescent="0.35">
      <c r="A1161">
        <v>2018</v>
      </c>
      <c r="B1161" t="s">
        <v>53</v>
      </c>
      <c r="C1161" t="s">
        <v>8</v>
      </c>
      <c r="D1161" s="1">
        <v>11205</v>
      </c>
      <c r="E1161" s="1">
        <v>138995</v>
      </c>
      <c r="F1161" s="2">
        <v>81168</v>
      </c>
    </row>
    <row r="1162" spans="1:6" x14ac:dyDescent="0.35">
      <c r="A1162">
        <v>2018</v>
      </c>
      <c r="B1162" t="s">
        <v>53</v>
      </c>
      <c r="C1162" t="s">
        <v>9</v>
      </c>
      <c r="D1162" s="1">
        <v>5113</v>
      </c>
      <c r="E1162" s="1">
        <v>114231</v>
      </c>
      <c r="F1162" s="2">
        <v>96613</v>
      </c>
    </row>
    <row r="1163" spans="1:6" x14ac:dyDescent="0.35">
      <c r="A1163">
        <v>2018</v>
      </c>
      <c r="B1163" t="s">
        <v>53</v>
      </c>
      <c r="C1163" t="s">
        <v>10</v>
      </c>
      <c r="D1163" s="1">
        <v>1223</v>
      </c>
      <c r="E1163" s="1">
        <v>8798</v>
      </c>
      <c r="F1163" s="2">
        <v>52761</v>
      </c>
    </row>
    <row r="1164" spans="1:6" x14ac:dyDescent="0.35">
      <c r="A1164">
        <v>2018</v>
      </c>
      <c r="B1164" t="s">
        <v>53</v>
      </c>
      <c r="C1164" t="s">
        <v>11</v>
      </c>
      <c r="D1164" s="1">
        <v>6688</v>
      </c>
      <c r="E1164" s="1">
        <v>94330</v>
      </c>
      <c r="F1164" s="2">
        <v>91164</v>
      </c>
    </row>
    <row r="1165" spans="1:6" x14ac:dyDescent="0.35">
      <c r="A1165">
        <v>2018</v>
      </c>
      <c r="B1165" t="s">
        <v>53</v>
      </c>
      <c r="C1165" t="s">
        <v>12</v>
      </c>
      <c r="D1165" s="1">
        <v>2123</v>
      </c>
      <c r="E1165" s="1">
        <v>29375</v>
      </c>
      <c r="F1165" s="2">
        <v>60371</v>
      </c>
    </row>
    <row r="1166" spans="1:6" x14ac:dyDescent="0.35">
      <c r="A1166">
        <v>2018</v>
      </c>
      <c r="B1166" t="s">
        <v>53</v>
      </c>
      <c r="C1166" t="s">
        <v>13</v>
      </c>
      <c r="D1166" s="1">
        <v>1742</v>
      </c>
      <c r="E1166" s="1">
        <v>22018</v>
      </c>
      <c r="F1166" s="2">
        <v>58519</v>
      </c>
    </row>
    <row r="1167" spans="1:6" x14ac:dyDescent="0.35">
      <c r="A1167">
        <v>2018</v>
      </c>
      <c r="B1167" t="s">
        <v>53</v>
      </c>
      <c r="C1167" t="s">
        <v>14</v>
      </c>
      <c r="D1167" s="1">
        <v>1308</v>
      </c>
      <c r="E1167" s="1">
        <v>18664</v>
      </c>
      <c r="F1167" s="2">
        <v>63399</v>
      </c>
    </row>
    <row r="1168" spans="1:6" x14ac:dyDescent="0.35">
      <c r="A1168">
        <v>2018</v>
      </c>
      <c r="B1168" t="s">
        <v>53</v>
      </c>
      <c r="C1168" t="s">
        <v>15</v>
      </c>
      <c r="D1168" s="1">
        <v>1785</v>
      </c>
      <c r="E1168" s="1">
        <v>21989</v>
      </c>
      <c r="F1168" s="2">
        <v>54629</v>
      </c>
    </row>
    <row r="1169" spans="1:6" x14ac:dyDescent="0.35">
      <c r="A1169">
        <v>2018</v>
      </c>
      <c r="B1169" t="s">
        <v>53</v>
      </c>
      <c r="C1169" t="s">
        <v>16</v>
      </c>
      <c r="D1169" s="1">
        <v>1716</v>
      </c>
      <c r="E1169" s="1">
        <v>22869</v>
      </c>
      <c r="F1169" s="2">
        <v>58223</v>
      </c>
    </row>
    <row r="1170" spans="1:6" x14ac:dyDescent="0.35">
      <c r="A1170">
        <v>2018</v>
      </c>
      <c r="B1170" t="s">
        <v>53</v>
      </c>
      <c r="C1170" t="s">
        <v>17</v>
      </c>
      <c r="D1170">
        <v>849</v>
      </c>
      <c r="E1170" s="1">
        <v>7397</v>
      </c>
      <c r="F1170" s="2">
        <v>54502</v>
      </c>
    </row>
    <row r="1171" spans="1:6" x14ac:dyDescent="0.35">
      <c r="A1171">
        <v>2018</v>
      </c>
      <c r="B1171" t="s">
        <v>53</v>
      </c>
      <c r="C1171" t="s">
        <v>18</v>
      </c>
      <c r="D1171" s="1">
        <v>2737</v>
      </c>
      <c r="E1171" s="1">
        <v>36210</v>
      </c>
      <c r="F1171" s="2">
        <v>92844</v>
      </c>
    </row>
    <row r="1172" spans="1:6" x14ac:dyDescent="0.35">
      <c r="A1172">
        <v>2018</v>
      </c>
      <c r="B1172" t="s">
        <v>53</v>
      </c>
      <c r="C1172" t="s">
        <v>19</v>
      </c>
      <c r="D1172" s="1">
        <v>5379</v>
      </c>
      <c r="E1172" s="1">
        <v>91783</v>
      </c>
      <c r="F1172" s="2">
        <v>123118</v>
      </c>
    </row>
    <row r="1173" spans="1:6" x14ac:dyDescent="0.35">
      <c r="A1173">
        <v>2018</v>
      </c>
      <c r="B1173" t="s">
        <v>53</v>
      </c>
      <c r="C1173" t="s">
        <v>20</v>
      </c>
      <c r="D1173" s="1">
        <v>6287</v>
      </c>
      <c r="E1173" s="1">
        <v>56247</v>
      </c>
      <c r="F1173" s="2">
        <v>73556</v>
      </c>
    </row>
    <row r="1174" spans="1:6" x14ac:dyDescent="0.35">
      <c r="A1174">
        <v>2018</v>
      </c>
      <c r="B1174" t="s">
        <v>53</v>
      </c>
      <c r="C1174" t="s">
        <v>21</v>
      </c>
      <c r="D1174" s="1">
        <v>3977</v>
      </c>
      <c r="E1174" s="1">
        <v>49170</v>
      </c>
      <c r="F1174" s="2">
        <v>78903</v>
      </c>
    </row>
    <row r="1175" spans="1:6" x14ac:dyDescent="0.35">
      <c r="A1175">
        <v>2018</v>
      </c>
      <c r="B1175" t="s">
        <v>53</v>
      </c>
      <c r="C1175" t="s">
        <v>22</v>
      </c>
      <c r="D1175">
        <v>940</v>
      </c>
      <c r="E1175" s="1">
        <v>10980</v>
      </c>
      <c r="F1175" s="2">
        <v>49173</v>
      </c>
    </row>
    <row r="1176" spans="1:6" x14ac:dyDescent="0.35">
      <c r="A1176">
        <v>2018</v>
      </c>
      <c r="B1176" t="s">
        <v>53</v>
      </c>
      <c r="C1176" t="s">
        <v>23</v>
      </c>
      <c r="D1176" s="1">
        <v>3049</v>
      </c>
      <c r="E1176" s="1">
        <v>47666</v>
      </c>
      <c r="F1176" s="2">
        <v>81842</v>
      </c>
    </row>
    <row r="1177" spans="1:6" x14ac:dyDescent="0.35">
      <c r="A1177">
        <v>2018</v>
      </c>
      <c r="B1177" t="s">
        <v>53</v>
      </c>
      <c r="C1177" t="s">
        <v>24</v>
      </c>
      <c r="D1177">
        <v>801</v>
      </c>
      <c r="E1177" s="1">
        <v>6350</v>
      </c>
      <c r="F1177" s="2">
        <v>54475</v>
      </c>
    </row>
    <row r="1178" spans="1:6" x14ac:dyDescent="0.35">
      <c r="A1178">
        <v>2018</v>
      </c>
      <c r="B1178" t="s">
        <v>53</v>
      </c>
      <c r="C1178" t="s">
        <v>25</v>
      </c>
      <c r="D1178">
        <v>973</v>
      </c>
      <c r="E1178" s="1">
        <v>17653</v>
      </c>
      <c r="F1178" s="2">
        <v>64407</v>
      </c>
    </row>
    <row r="1179" spans="1:6" x14ac:dyDescent="0.35">
      <c r="A1179">
        <v>2018</v>
      </c>
      <c r="B1179" t="s">
        <v>53</v>
      </c>
      <c r="C1179" t="s">
        <v>26</v>
      </c>
      <c r="D1179" s="1">
        <v>1541</v>
      </c>
      <c r="E1179" s="1">
        <v>15646</v>
      </c>
      <c r="F1179" s="2">
        <v>70292</v>
      </c>
    </row>
    <row r="1180" spans="1:6" x14ac:dyDescent="0.35">
      <c r="A1180">
        <v>2018</v>
      </c>
      <c r="B1180" t="s">
        <v>53</v>
      </c>
      <c r="C1180" t="s">
        <v>27</v>
      </c>
      <c r="D1180">
        <v>892</v>
      </c>
      <c r="E1180" s="1">
        <v>12351</v>
      </c>
      <c r="F1180" s="2">
        <v>93599</v>
      </c>
    </row>
    <row r="1181" spans="1:6" x14ac:dyDescent="0.35">
      <c r="A1181">
        <v>2018</v>
      </c>
      <c r="B1181" t="s">
        <v>53</v>
      </c>
      <c r="C1181" t="s">
        <v>28</v>
      </c>
      <c r="D1181" s="1">
        <v>3722</v>
      </c>
      <c r="E1181" s="1">
        <v>69519</v>
      </c>
      <c r="F1181" s="2">
        <v>114630</v>
      </c>
    </row>
    <row r="1182" spans="1:6" x14ac:dyDescent="0.35">
      <c r="A1182">
        <v>2018</v>
      </c>
      <c r="B1182" t="s">
        <v>53</v>
      </c>
      <c r="C1182" t="s">
        <v>29</v>
      </c>
      <c r="D1182">
        <v>987</v>
      </c>
      <c r="E1182" s="1">
        <v>12015</v>
      </c>
      <c r="F1182" s="2">
        <v>53204</v>
      </c>
    </row>
    <row r="1183" spans="1:6" x14ac:dyDescent="0.35">
      <c r="A1183">
        <v>2018</v>
      </c>
      <c r="B1183" t="s">
        <v>53</v>
      </c>
      <c r="C1183" t="s">
        <v>30</v>
      </c>
      <c r="D1183" s="1">
        <v>12672</v>
      </c>
      <c r="E1183" s="1">
        <v>275598</v>
      </c>
      <c r="F1183" s="2">
        <v>129853</v>
      </c>
    </row>
    <row r="1184" spans="1:6" x14ac:dyDescent="0.35">
      <c r="A1184">
        <v>2018</v>
      </c>
      <c r="B1184" t="s">
        <v>53</v>
      </c>
      <c r="C1184" t="s">
        <v>31</v>
      </c>
      <c r="D1184" s="1">
        <v>5238</v>
      </c>
      <c r="E1184" s="1">
        <v>79945</v>
      </c>
      <c r="F1184" s="2">
        <v>83920</v>
      </c>
    </row>
    <row r="1185" spans="1:6" x14ac:dyDescent="0.35">
      <c r="A1185">
        <v>2018</v>
      </c>
      <c r="B1185" t="s">
        <v>53</v>
      </c>
      <c r="C1185" t="s">
        <v>32</v>
      </c>
      <c r="D1185">
        <v>395</v>
      </c>
      <c r="E1185" s="1">
        <v>6221</v>
      </c>
      <c r="F1185" s="2">
        <v>70208</v>
      </c>
    </row>
    <row r="1186" spans="1:6" x14ac:dyDescent="0.35">
      <c r="A1186">
        <v>2018</v>
      </c>
      <c r="B1186" t="s">
        <v>53</v>
      </c>
      <c r="C1186" t="s">
        <v>33</v>
      </c>
      <c r="D1186" s="1">
        <v>4616</v>
      </c>
      <c r="E1186" s="1">
        <v>70930</v>
      </c>
      <c r="F1186" s="2">
        <v>70006</v>
      </c>
    </row>
    <row r="1187" spans="1:6" x14ac:dyDescent="0.35">
      <c r="A1187">
        <v>2018</v>
      </c>
      <c r="B1187" t="s">
        <v>53</v>
      </c>
      <c r="C1187" t="s">
        <v>34</v>
      </c>
      <c r="D1187" s="1">
        <v>1469</v>
      </c>
      <c r="E1187" s="1">
        <v>19859</v>
      </c>
      <c r="F1187" s="2">
        <v>58997</v>
      </c>
    </row>
    <row r="1188" spans="1:6" x14ac:dyDescent="0.35">
      <c r="A1188">
        <v>2018</v>
      </c>
      <c r="B1188" t="s">
        <v>53</v>
      </c>
      <c r="C1188" t="s">
        <v>35</v>
      </c>
      <c r="D1188" s="1">
        <v>3768</v>
      </c>
      <c r="E1188" s="1">
        <v>34277</v>
      </c>
      <c r="F1188" s="2">
        <v>87733</v>
      </c>
    </row>
    <row r="1189" spans="1:6" x14ac:dyDescent="0.35">
      <c r="A1189">
        <v>2018</v>
      </c>
      <c r="B1189" t="s">
        <v>53</v>
      </c>
      <c r="C1189" t="s">
        <v>36</v>
      </c>
      <c r="D1189" s="1">
        <v>4896</v>
      </c>
      <c r="E1189" s="1">
        <v>85970</v>
      </c>
      <c r="F1189" s="2">
        <v>87091</v>
      </c>
    </row>
    <row r="1190" spans="1:6" x14ac:dyDescent="0.35">
      <c r="A1190">
        <v>2018</v>
      </c>
      <c r="B1190" t="s">
        <v>53</v>
      </c>
      <c r="C1190" t="s">
        <v>37</v>
      </c>
      <c r="D1190">
        <v>715</v>
      </c>
      <c r="E1190" s="1">
        <v>5930</v>
      </c>
      <c r="F1190" s="2">
        <v>74327</v>
      </c>
    </row>
    <row r="1191" spans="1:6" x14ac:dyDescent="0.35">
      <c r="A1191">
        <v>2018</v>
      </c>
      <c r="B1191" t="s">
        <v>53</v>
      </c>
      <c r="C1191" t="s">
        <v>38</v>
      </c>
      <c r="D1191" s="1">
        <v>2548</v>
      </c>
      <c r="E1191" s="1">
        <v>28067</v>
      </c>
      <c r="F1191" s="2">
        <v>61977</v>
      </c>
    </row>
    <row r="1192" spans="1:6" x14ac:dyDescent="0.35">
      <c r="A1192">
        <v>2018</v>
      </c>
      <c r="B1192" t="s">
        <v>53</v>
      </c>
      <c r="C1192" t="s">
        <v>39</v>
      </c>
      <c r="D1192">
        <v>561</v>
      </c>
      <c r="E1192" s="1">
        <v>5589</v>
      </c>
      <c r="F1192" s="2">
        <v>49334</v>
      </c>
    </row>
    <row r="1193" spans="1:6" x14ac:dyDescent="0.35">
      <c r="A1193">
        <v>2018</v>
      </c>
      <c r="B1193" t="s">
        <v>53</v>
      </c>
      <c r="C1193" t="s">
        <v>40</v>
      </c>
      <c r="D1193" s="1">
        <v>3519</v>
      </c>
      <c r="E1193" s="1">
        <v>44851</v>
      </c>
      <c r="F1193" s="2">
        <v>73821</v>
      </c>
    </row>
    <row r="1194" spans="1:6" x14ac:dyDescent="0.35">
      <c r="A1194">
        <v>2018</v>
      </c>
      <c r="B1194" t="s">
        <v>53</v>
      </c>
      <c r="C1194" t="s">
        <v>41</v>
      </c>
      <c r="D1194" s="1">
        <v>9828</v>
      </c>
      <c r="E1194" s="1">
        <v>203822</v>
      </c>
      <c r="F1194" s="2">
        <v>87085</v>
      </c>
    </row>
    <row r="1195" spans="1:6" x14ac:dyDescent="0.35">
      <c r="A1195">
        <v>2018</v>
      </c>
      <c r="B1195" t="s">
        <v>53</v>
      </c>
      <c r="C1195" t="s">
        <v>42</v>
      </c>
      <c r="D1195" s="1">
        <v>2489</v>
      </c>
      <c r="E1195" s="1">
        <v>36783</v>
      </c>
      <c r="F1195" s="2">
        <v>78404</v>
      </c>
    </row>
    <row r="1196" spans="1:6" x14ac:dyDescent="0.35">
      <c r="A1196">
        <v>2018</v>
      </c>
      <c r="B1196" t="s">
        <v>53</v>
      </c>
      <c r="C1196" t="s">
        <v>43</v>
      </c>
      <c r="D1196">
        <v>505</v>
      </c>
      <c r="E1196" s="1">
        <v>4280</v>
      </c>
      <c r="F1196" s="2">
        <v>59800</v>
      </c>
    </row>
    <row r="1197" spans="1:6" x14ac:dyDescent="0.35">
      <c r="A1197">
        <v>2018</v>
      </c>
      <c r="B1197" t="s">
        <v>53</v>
      </c>
      <c r="C1197" t="s">
        <v>44</v>
      </c>
      <c r="D1197" s="1">
        <v>4379</v>
      </c>
      <c r="E1197" s="1">
        <v>66998</v>
      </c>
      <c r="F1197" s="2">
        <v>100731</v>
      </c>
    </row>
    <row r="1198" spans="1:6" x14ac:dyDescent="0.35">
      <c r="A1198">
        <v>2018</v>
      </c>
      <c r="B1198" t="s">
        <v>53</v>
      </c>
      <c r="C1198" t="s">
        <v>45</v>
      </c>
      <c r="D1198" s="1">
        <v>4629</v>
      </c>
      <c r="E1198" s="1">
        <v>133126</v>
      </c>
      <c r="F1198" s="2">
        <v>194631</v>
      </c>
    </row>
    <row r="1199" spans="1:6" x14ac:dyDescent="0.35">
      <c r="A1199">
        <v>2018</v>
      </c>
      <c r="B1199" t="s">
        <v>53</v>
      </c>
      <c r="C1199" t="s">
        <v>46</v>
      </c>
      <c r="D1199">
        <v>789</v>
      </c>
      <c r="E1199" s="1">
        <v>8288</v>
      </c>
      <c r="F1199" s="2">
        <v>52508</v>
      </c>
    </row>
    <row r="1200" spans="1:6" x14ac:dyDescent="0.35">
      <c r="A1200">
        <v>2018</v>
      </c>
      <c r="B1200" t="s">
        <v>53</v>
      </c>
      <c r="C1200" t="s">
        <v>47</v>
      </c>
      <c r="D1200" s="1">
        <v>2298</v>
      </c>
      <c r="E1200" s="1">
        <v>47152</v>
      </c>
      <c r="F1200" s="2">
        <v>75414</v>
      </c>
    </row>
    <row r="1201" spans="1:6" x14ac:dyDescent="0.35">
      <c r="A1201">
        <v>2018</v>
      </c>
      <c r="B1201" t="s">
        <v>53</v>
      </c>
      <c r="C1201" t="s">
        <v>48</v>
      </c>
      <c r="D1201">
        <v>398</v>
      </c>
      <c r="E1201" s="1">
        <v>3554</v>
      </c>
      <c r="F1201" s="2">
        <v>47401</v>
      </c>
    </row>
    <row r="1202" spans="1:6" x14ac:dyDescent="0.35">
      <c r="A1202">
        <v>2018</v>
      </c>
      <c r="B1202" t="s">
        <v>56</v>
      </c>
      <c r="C1202" t="s">
        <v>1</v>
      </c>
      <c r="D1202" s="1">
        <v>13364</v>
      </c>
      <c r="E1202" s="1">
        <v>94561</v>
      </c>
      <c r="F1202" s="2">
        <v>69240</v>
      </c>
    </row>
    <row r="1203" spans="1:6" x14ac:dyDescent="0.35">
      <c r="A1203">
        <v>2018</v>
      </c>
      <c r="B1203" t="s">
        <v>56</v>
      </c>
      <c r="C1203" t="s">
        <v>2</v>
      </c>
      <c r="D1203" s="1">
        <v>17978</v>
      </c>
      <c r="E1203" s="1">
        <v>214637</v>
      </c>
      <c r="F1203" s="2">
        <v>70877</v>
      </c>
    </row>
    <row r="1204" spans="1:6" x14ac:dyDescent="0.35">
      <c r="A1204">
        <v>2018</v>
      </c>
      <c r="B1204" t="s">
        <v>56</v>
      </c>
      <c r="C1204" t="s">
        <v>3</v>
      </c>
      <c r="D1204" s="1">
        <v>8418</v>
      </c>
      <c r="E1204" s="1">
        <v>50647</v>
      </c>
      <c r="F1204" s="2">
        <v>58119</v>
      </c>
    </row>
    <row r="1205" spans="1:6" x14ac:dyDescent="0.35">
      <c r="A1205">
        <v>2018</v>
      </c>
      <c r="B1205" t="s">
        <v>56</v>
      </c>
      <c r="C1205" t="s">
        <v>4</v>
      </c>
      <c r="D1205" s="1">
        <v>106953</v>
      </c>
      <c r="E1205" s="1">
        <v>835896</v>
      </c>
      <c r="F1205" s="2">
        <v>107228</v>
      </c>
    </row>
    <row r="1206" spans="1:6" x14ac:dyDescent="0.35">
      <c r="A1206">
        <v>2018</v>
      </c>
      <c r="B1206" t="s">
        <v>56</v>
      </c>
      <c r="C1206" t="s">
        <v>5</v>
      </c>
      <c r="D1206" s="1">
        <v>23326</v>
      </c>
      <c r="E1206" s="1">
        <v>164801</v>
      </c>
      <c r="F1206" s="2">
        <v>84615</v>
      </c>
    </row>
    <row r="1207" spans="1:6" x14ac:dyDescent="0.35">
      <c r="A1207">
        <v>2018</v>
      </c>
      <c r="B1207" t="s">
        <v>56</v>
      </c>
      <c r="C1207" t="s">
        <v>6</v>
      </c>
      <c r="D1207" s="1">
        <v>10879</v>
      </c>
      <c r="E1207" s="1">
        <v>123655</v>
      </c>
      <c r="F1207" s="2">
        <v>155433</v>
      </c>
    </row>
    <row r="1208" spans="1:6" x14ac:dyDescent="0.35">
      <c r="A1208">
        <v>2018</v>
      </c>
      <c r="B1208" t="s">
        <v>56</v>
      </c>
      <c r="C1208" t="s">
        <v>7</v>
      </c>
      <c r="D1208" s="1">
        <v>2859</v>
      </c>
      <c r="E1208" s="1">
        <v>47609</v>
      </c>
      <c r="F1208" s="2">
        <v>95574</v>
      </c>
    </row>
    <row r="1209" spans="1:6" x14ac:dyDescent="0.35">
      <c r="A1209">
        <v>2018</v>
      </c>
      <c r="B1209" t="s">
        <v>56</v>
      </c>
      <c r="C1209" t="s">
        <v>8</v>
      </c>
      <c r="D1209" s="1">
        <v>73412</v>
      </c>
      <c r="E1209" s="1">
        <v>570645</v>
      </c>
      <c r="F1209" s="2">
        <v>75337</v>
      </c>
    </row>
    <row r="1210" spans="1:6" x14ac:dyDescent="0.35">
      <c r="A1210">
        <v>2018</v>
      </c>
      <c r="B1210" t="s">
        <v>56</v>
      </c>
      <c r="C1210" t="s">
        <v>9</v>
      </c>
      <c r="D1210" s="1">
        <v>26225</v>
      </c>
      <c r="E1210" s="1">
        <v>237900</v>
      </c>
      <c r="F1210" s="2">
        <v>84587</v>
      </c>
    </row>
    <row r="1211" spans="1:6" x14ac:dyDescent="0.35">
      <c r="A1211">
        <v>2018</v>
      </c>
      <c r="B1211" t="s">
        <v>56</v>
      </c>
      <c r="C1211" t="s">
        <v>10</v>
      </c>
      <c r="D1211" s="1">
        <v>5824</v>
      </c>
      <c r="E1211" s="1">
        <v>32493</v>
      </c>
      <c r="F1211" s="2">
        <v>56024</v>
      </c>
    </row>
    <row r="1212" spans="1:6" x14ac:dyDescent="0.35">
      <c r="A1212">
        <v>2018</v>
      </c>
      <c r="B1212" t="s">
        <v>56</v>
      </c>
      <c r="C1212" t="s">
        <v>11</v>
      </c>
      <c r="D1212" s="1">
        <v>32448</v>
      </c>
      <c r="E1212" s="1">
        <v>373685</v>
      </c>
      <c r="F1212" s="2">
        <v>109598</v>
      </c>
    </row>
    <row r="1213" spans="1:6" x14ac:dyDescent="0.35">
      <c r="A1213">
        <v>2018</v>
      </c>
      <c r="B1213" t="s">
        <v>56</v>
      </c>
      <c r="C1213" t="s">
        <v>12</v>
      </c>
      <c r="D1213" s="1">
        <v>16542</v>
      </c>
      <c r="E1213" s="1">
        <v>133603</v>
      </c>
      <c r="F1213" s="2">
        <v>65167</v>
      </c>
    </row>
    <row r="1214" spans="1:6" x14ac:dyDescent="0.35">
      <c r="A1214">
        <v>2018</v>
      </c>
      <c r="B1214" t="s">
        <v>56</v>
      </c>
      <c r="C1214" t="s">
        <v>13</v>
      </c>
      <c r="D1214" s="1">
        <v>10213</v>
      </c>
      <c r="E1214" s="1">
        <v>109030</v>
      </c>
      <c r="F1214" s="2">
        <v>73894</v>
      </c>
    </row>
    <row r="1215" spans="1:6" x14ac:dyDescent="0.35">
      <c r="A1215">
        <v>2018</v>
      </c>
      <c r="B1215" t="s">
        <v>56</v>
      </c>
      <c r="C1215" t="s">
        <v>14</v>
      </c>
      <c r="D1215" s="1">
        <v>8870</v>
      </c>
      <c r="E1215" s="1">
        <v>73500</v>
      </c>
      <c r="F1215" s="2">
        <v>67710</v>
      </c>
    </row>
    <row r="1216" spans="1:6" x14ac:dyDescent="0.35">
      <c r="A1216">
        <v>2018</v>
      </c>
      <c r="B1216" t="s">
        <v>56</v>
      </c>
      <c r="C1216" t="s">
        <v>15</v>
      </c>
      <c r="D1216" s="1">
        <v>11035</v>
      </c>
      <c r="E1216" s="1">
        <v>92881</v>
      </c>
      <c r="F1216" s="2">
        <v>67733</v>
      </c>
    </row>
    <row r="1217" spans="1:6" x14ac:dyDescent="0.35">
      <c r="A1217">
        <v>2018</v>
      </c>
      <c r="B1217" t="s">
        <v>56</v>
      </c>
      <c r="C1217" t="s">
        <v>16</v>
      </c>
      <c r="D1217" s="1">
        <v>13754</v>
      </c>
      <c r="E1217" s="1">
        <v>85071</v>
      </c>
      <c r="F1217" s="2">
        <v>62731</v>
      </c>
    </row>
    <row r="1218" spans="1:6" x14ac:dyDescent="0.35">
      <c r="A1218">
        <v>2018</v>
      </c>
      <c r="B1218" t="s">
        <v>56</v>
      </c>
      <c r="C1218" t="s">
        <v>17</v>
      </c>
      <c r="D1218" s="1">
        <v>3804</v>
      </c>
      <c r="E1218" s="1">
        <v>29811</v>
      </c>
      <c r="F1218" s="2">
        <v>68174</v>
      </c>
    </row>
    <row r="1219" spans="1:6" x14ac:dyDescent="0.35">
      <c r="A1219">
        <v>2018</v>
      </c>
      <c r="B1219" t="s">
        <v>56</v>
      </c>
      <c r="C1219" t="s">
        <v>18</v>
      </c>
      <c r="D1219" s="1">
        <v>15277</v>
      </c>
      <c r="E1219" s="1">
        <v>138261</v>
      </c>
      <c r="F1219" s="2">
        <v>94201</v>
      </c>
    </row>
    <row r="1220" spans="1:6" x14ac:dyDescent="0.35">
      <c r="A1220">
        <v>2018</v>
      </c>
      <c r="B1220" t="s">
        <v>56</v>
      </c>
      <c r="C1220" t="s">
        <v>19</v>
      </c>
      <c r="D1220" s="1">
        <v>17504</v>
      </c>
      <c r="E1220" s="1">
        <v>217151</v>
      </c>
      <c r="F1220" s="2">
        <v>144514</v>
      </c>
    </row>
    <row r="1221" spans="1:6" x14ac:dyDescent="0.35">
      <c r="A1221">
        <v>2018</v>
      </c>
      <c r="B1221" t="s">
        <v>56</v>
      </c>
      <c r="C1221" t="s">
        <v>20</v>
      </c>
      <c r="D1221" s="1">
        <v>19082</v>
      </c>
      <c r="E1221" s="1">
        <v>203261</v>
      </c>
      <c r="F1221" s="2">
        <v>71568</v>
      </c>
    </row>
    <row r="1222" spans="1:6" x14ac:dyDescent="0.35">
      <c r="A1222">
        <v>2018</v>
      </c>
      <c r="B1222" t="s">
        <v>56</v>
      </c>
      <c r="C1222" t="s">
        <v>21</v>
      </c>
      <c r="D1222" s="1">
        <v>15877</v>
      </c>
      <c r="E1222" s="1">
        <v>178309</v>
      </c>
      <c r="F1222" s="2">
        <v>95604</v>
      </c>
    </row>
    <row r="1223" spans="1:6" x14ac:dyDescent="0.35">
      <c r="A1223">
        <v>2018</v>
      </c>
      <c r="B1223" t="s">
        <v>56</v>
      </c>
      <c r="C1223" t="s">
        <v>22</v>
      </c>
      <c r="D1223" s="1">
        <v>7959</v>
      </c>
      <c r="E1223" s="1">
        <v>42911</v>
      </c>
      <c r="F1223" s="2">
        <v>53281</v>
      </c>
    </row>
    <row r="1224" spans="1:6" x14ac:dyDescent="0.35">
      <c r="A1224">
        <v>2018</v>
      </c>
      <c r="B1224" t="s">
        <v>56</v>
      </c>
      <c r="C1224" t="s">
        <v>23</v>
      </c>
      <c r="D1224" s="1">
        <v>17251</v>
      </c>
      <c r="E1224" s="1">
        <v>162755</v>
      </c>
      <c r="F1224" s="2">
        <v>72947</v>
      </c>
    </row>
    <row r="1225" spans="1:6" x14ac:dyDescent="0.35">
      <c r="A1225">
        <v>2018</v>
      </c>
      <c r="B1225" t="s">
        <v>56</v>
      </c>
      <c r="C1225" t="s">
        <v>24</v>
      </c>
      <c r="D1225" s="1">
        <v>4297</v>
      </c>
      <c r="E1225" s="1">
        <v>21204</v>
      </c>
      <c r="F1225" s="2">
        <v>59315</v>
      </c>
    </row>
    <row r="1226" spans="1:6" x14ac:dyDescent="0.35">
      <c r="A1226">
        <v>2018</v>
      </c>
      <c r="B1226" t="s">
        <v>56</v>
      </c>
      <c r="C1226" t="s">
        <v>25</v>
      </c>
      <c r="D1226" s="1">
        <v>6683</v>
      </c>
      <c r="E1226" s="1">
        <v>66245</v>
      </c>
      <c r="F1226" s="2">
        <v>66817</v>
      </c>
    </row>
    <row r="1227" spans="1:6" x14ac:dyDescent="0.35">
      <c r="A1227">
        <v>2018</v>
      </c>
      <c r="B1227" t="s">
        <v>56</v>
      </c>
      <c r="C1227" t="s">
        <v>26</v>
      </c>
      <c r="D1227" s="1">
        <v>9082</v>
      </c>
      <c r="E1227" s="1">
        <v>63303</v>
      </c>
      <c r="F1227" s="2">
        <v>66612</v>
      </c>
    </row>
    <row r="1228" spans="1:6" x14ac:dyDescent="0.35">
      <c r="A1228">
        <v>2018</v>
      </c>
      <c r="B1228" t="s">
        <v>56</v>
      </c>
      <c r="C1228" t="s">
        <v>27</v>
      </c>
      <c r="D1228" s="1">
        <v>3838</v>
      </c>
      <c r="E1228" s="1">
        <v>33486</v>
      </c>
      <c r="F1228" s="2">
        <v>94889</v>
      </c>
    </row>
    <row r="1229" spans="1:6" x14ac:dyDescent="0.35">
      <c r="A1229">
        <v>2018</v>
      </c>
      <c r="B1229" t="s">
        <v>56</v>
      </c>
      <c r="C1229" t="s">
        <v>28</v>
      </c>
      <c r="D1229" s="1">
        <v>19963</v>
      </c>
      <c r="E1229" s="1">
        <v>242994</v>
      </c>
      <c r="F1229" s="2">
        <v>115066</v>
      </c>
    </row>
    <row r="1230" spans="1:6" x14ac:dyDescent="0.35">
      <c r="A1230">
        <v>2018</v>
      </c>
      <c r="B1230" t="s">
        <v>56</v>
      </c>
      <c r="C1230" t="s">
        <v>29</v>
      </c>
      <c r="D1230" s="1">
        <v>5293</v>
      </c>
      <c r="E1230" s="1">
        <v>32955</v>
      </c>
      <c r="F1230" s="2">
        <v>56048</v>
      </c>
    </row>
    <row r="1231" spans="1:6" x14ac:dyDescent="0.35">
      <c r="A1231">
        <v>2018</v>
      </c>
      <c r="B1231" t="s">
        <v>56</v>
      </c>
      <c r="C1231" t="s">
        <v>30</v>
      </c>
      <c r="D1231" s="1">
        <v>64317</v>
      </c>
      <c r="E1231" s="1">
        <v>714540</v>
      </c>
      <c r="F1231" s="2">
        <v>186871</v>
      </c>
    </row>
    <row r="1232" spans="1:6" x14ac:dyDescent="0.35">
      <c r="A1232">
        <v>2018</v>
      </c>
      <c r="B1232" t="s">
        <v>56</v>
      </c>
      <c r="C1232" t="s">
        <v>31</v>
      </c>
      <c r="D1232" s="1">
        <v>27776</v>
      </c>
      <c r="E1232" s="1">
        <v>233277</v>
      </c>
      <c r="F1232" s="2">
        <v>87311</v>
      </c>
    </row>
    <row r="1233" spans="1:6" x14ac:dyDescent="0.35">
      <c r="A1233">
        <v>2018</v>
      </c>
      <c r="B1233" t="s">
        <v>56</v>
      </c>
      <c r="C1233" t="s">
        <v>32</v>
      </c>
      <c r="D1233" s="1">
        <v>2995</v>
      </c>
      <c r="E1233" s="1">
        <v>23145</v>
      </c>
      <c r="F1233" s="2">
        <v>63251</v>
      </c>
    </row>
    <row r="1234" spans="1:6" x14ac:dyDescent="0.35">
      <c r="A1234">
        <v>2018</v>
      </c>
      <c r="B1234" t="s">
        <v>56</v>
      </c>
      <c r="C1234" t="s">
        <v>33</v>
      </c>
      <c r="D1234" s="1">
        <v>28783</v>
      </c>
      <c r="E1234" s="1">
        <v>293549</v>
      </c>
      <c r="F1234" s="2">
        <v>72736</v>
      </c>
    </row>
    <row r="1235" spans="1:6" x14ac:dyDescent="0.35">
      <c r="A1235">
        <v>2018</v>
      </c>
      <c r="B1235" t="s">
        <v>56</v>
      </c>
      <c r="C1235" t="s">
        <v>34</v>
      </c>
      <c r="D1235" s="1">
        <v>11458</v>
      </c>
      <c r="E1235" s="1">
        <v>77052</v>
      </c>
      <c r="F1235" s="2">
        <v>58044</v>
      </c>
    </row>
    <row r="1236" spans="1:6" x14ac:dyDescent="0.35">
      <c r="A1236">
        <v>2018</v>
      </c>
      <c r="B1236" t="s">
        <v>56</v>
      </c>
      <c r="C1236" t="s">
        <v>35</v>
      </c>
      <c r="D1236" s="1">
        <v>13030</v>
      </c>
      <c r="E1236" s="1">
        <v>84865</v>
      </c>
      <c r="F1236" s="2">
        <v>69649</v>
      </c>
    </row>
    <row r="1237" spans="1:6" x14ac:dyDescent="0.35">
      <c r="A1237">
        <v>2018</v>
      </c>
      <c r="B1237" t="s">
        <v>56</v>
      </c>
      <c r="C1237" t="s">
        <v>36</v>
      </c>
      <c r="D1237" s="1">
        <v>28823</v>
      </c>
      <c r="E1237" s="1">
        <v>325130</v>
      </c>
      <c r="F1237" s="2">
        <v>88831</v>
      </c>
    </row>
    <row r="1238" spans="1:6" x14ac:dyDescent="0.35">
      <c r="A1238">
        <v>2018</v>
      </c>
      <c r="B1238" t="s">
        <v>56</v>
      </c>
      <c r="C1238" t="s">
        <v>37</v>
      </c>
      <c r="D1238" s="1">
        <v>2869</v>
      </c>
      <c r="E1238" s="1">
        <v>32305</v>
      </c>
      <c r="F1238" s="2">
        <v>88061</v>
      </c>
    </row>
    <row r="1239" spans="1:6" x14ac:dyDescent="0.35">
      <c r="A1239">
        <v>2018</v>
      </c>
      <c r="B1239" t="s">
        <v>56</v>
      </c>
      <c r="C1239" t="s">
        <v>38</v>
      </c>
      <c r="D1239" s="1">
        <v>13166</v>
      </c>
      <c r="E1239" s="1">
        <v>100794</v>
      </c>
      <c r="F1239" s="2">
        <v>61713</v>
      </c>
    </row>
    <row r="1240" spans="1:6" x14ac:dyDescent="0.35">
      <c r="A1240">
        <v>2018</v>
      </c>
      <c r="B1240" t="s">
        <v>56</v>
      </c>
      <c r="C1240" t="s">
        <v>39</v>
      </c>
      <c r="D1240" s="1">
        <v>3259</v>
      </c>
      <c r="E1240" s="1">
        <v>28739</v>
      </c>
      <c r="F1240" s="2">
        <v>60160</v>
      </c>
    </row>
    <row r="1241" spans="1:6" x14ac:dyDescent="0.35">
      <c r="A1241">
        <v>2018</v>
      </c>
      <c r="B1241" t="s">
        <v>56</v>
      </c>
      <c r="C1241" t="s">
        <v>40</v>
      </c>
      <c r="D1241" s="1">
        <v>15698</v>
      </c>
      <c r="E1241" s="1">
        <v>150833</v>
      </c>
      <c r="F1241" s="2">
        <v>76718</v>
      </c>
    </row>
    <row r="1242" spans="1:6" x14ac:dyDescent="0.35">
      <c r="A1242">
        <v>2018</v>
      </c>
      <c r="B1242" t="s">
        <v>56</v>
      </c>
      <c r="C1242" t="s">
        <v>41</v>
      </c>
      <c r="D1242" s="1">
        <v>73679</v>
      </c>
      <c r="E1242" s="1">
        <v>756318</v>
      </c>
      <c r="F1242" s="2">
        <v>83356</v>
      </c>
    </row>
    <row r="1243" spans="1:6" x14ac:dyDescent="0.35">
      <c r="A1243">
        <v>2018</v>
      </c>
      <c r="B1243" t="s">
        <v>56</v>
      </c>
      <c r="C1243" t="s">
        <v>42</v>
      </c>
      <c r="D1243" s="1">
        <v>11520</v>
      </c>
      <c r="E1243" s="1">
        <v>87530</v>
      </c>
      <c r="F1243" s="2">
        <v>67933</v>
      </c>
    </row>
    <row r="1244" spans="1:6" x14ac:dyDescent="0.35">
      <c r="A1244">
        <v>2018</v>
      </c>
      <c r="B1244" t="s">
        <v>56</v>
      </c>
      <c r="C1244" t="s">
        <v>43</v>
      </c>
      <c r="D1244" s="1">
        <v>1694</v>
      </c>
      <c r="E1244" s="1">
        <v>11814</v>
      </c>
      <c r="F1244" s="2">
        <v>72078</v>
      </c>
    </row>
    <row r="1245" spans="1:6" x14ac:dyDescent="0.35">
      <c r="A1245">
        <v>2018</v>
      </c>
      <c r="B1245" t="s">
        <v>56</v>
      </c>
      <c r="C1245" t="s">
        <v>44</v>
      </c>
      <c r="D1245" s="1">
        <v>21938</v>
      </c>
      <c r="E1245" s="1">
        <v>194731</v>
      </c>
      <c r="F1245" s="2">
        <v>85723</v>
      </c>
    </row>
    <row r="1246" spans="1:6" x14ac:dyDescent="0.35">
      <c r="A1246">
        <v>2018</v>
      </c>
      <c r="B1246" t="s">
        <v>56</v>
      </c>
      <c r="C1246" t="s">
        <v>45</v>
      </c>
      <c r="D1246" s="1">
        <v>17577</v>
      </c>
      <c r="E1246" s="1">
        <v>147871</v>
      </c>
      <c r="F1246" s="2">
        <v>80466</v>
      </c>
    </row>
    <row r="1247" spans="1:6" x14ac:dyDescent="0.35">
      <c r="A1247">
        <v>2018</v>
      </c>
      <c r="B1247" t="s">
        <v>56</v>
      </c>
      <c r="C1247" t="s">
        <v>46</v>
      </c>
      <c r="D1247" s="1">
        <v>4029</v>
      </c>
      <c r="E1247" s="1">
        <v>24510</v>
      </c>
      <c r="F1247" s="2">
        <v>53206</v>
      </c>
    </row>
    <row r="1248" spans="1:6" x14ac:dyDescent="0.35">
      <c r="A1248">
        <v>2018</v>
      </c>
      <c r="B1248" t="s">
        <v>56</v>
      </c>
      <c r="C1248" t="s">
        <v>47</v>
      </c>
      <c r="D1248" s="1">
        <v>13917</v>
      </c>
      <c r="E1248" s="1">
        <v>148837</v>
      </c>
      <c r="F1248" s="2">
        <v>71561</v>
      </c>
    </row>
    <row r="1249" spans="1:6" x14ac:dyDescent="0.35">
      <c r="A1249">
        <v>2018</v>
      </c>
      <c r="B1249" t="s">
        <v>56</v>
      </c>
      <c r="C1249" t="s">
        <v>48</v>
      </c>
      <c r="D1249" s="1">
        <v>2283</v>
      </c>
      <c r="E1249" s="1">
        <v>11124</v>
      </c>
      <c r="F1249" s="2">
        <v>57486</v>
      </c>
    </row>
    <row r="1250" spans="1:6" x14ac:dyDescent="0.35">
      <c r="A1250">
        <v>2018</v>
      </c>
      <c r="B1250" t="s">
        <v>57</v>
      </c>
      <c r="C1250" t="s">
        <v>1</v>
      </c>
      <c r="D1250" s="1">
        <v>21888</v>
      </c>
      <c r="E1250" s="1">
        <v>245234</v>
      </c>
      <c r="F1250" s="2">
        <v>55653</v>
      </c>
    </row>
    <row r="1251" spans="1:6" x14ac:dyDescent="0.35">
      <c r="A1251">
        <v>2018</v>
      </c>
      <c r="B1251" t="s">
        <v>57</v>
      </c>
      <c r="C1251" t="s">
        <v>2</v>
      </c>
      <c r="D1251" s="1">
        <v>35993</v>
      </c>
      <c r="E1251" s="1">
        <v>430516</v>
      </c>
      <c r="F1251" s="2">
        <v>56745</v>
      </c>
    </row>
    <row r="1252" spans="1:6" x14ac:dyDescent="0.35">
      <c r="A1252">
        <v>2018</v>
      </c>
      <c r="B1252" t="s">
        <v>57</v>
      </c>
      <c r="C1252" t="s">
        <v>3</v>
      </c>
      <c r="D1252" s="1">
        <v>14308</v>
      </c>
      <c r="E1252" s="1">
        <v>146700</v>
      </c>
      <c r="F1252" s="2">
        <v>60316</v>
      </c>
    </row>
    <row r="1253" spans="1:6" x14ac:dyDescent="0.35">
      <c r="A1253">
        <v>2018</v>
      </c>
      <c r="B1253" t="s">
        <v>57</v>
      </c>
      <c r="C1253" t="s">
        <v>4</v>
      </c>
      <c r="D1253" s="1">
        <v>208425</v>
      </c>
      <c r="E1253" s="1">
        <v>2667839</v>
      </c>
      <c r="F1253" s="2">
        <v>91070</v>
      </c>
    </row>
    <row r="1254" spans="1:6" x14ac:dyDescent="0.35">
      <c r="A1254">
        <v>2018</v>
      </c>
      <c r="B1254" t="s">
        <v>57</v>
      </c>
      <c r="C1254" t="s">
        <v>5</v>
      </c>
      <c r="D1254" s="1">
        <v>52525</v>
      </c>
      <c r="E1254" s="1">
        <v>423946</v>
      </c>
      <c r="F1254" s="2">
        <v>81401</v>
      </c>
    </row>
    <row r="1255" spans="1:6" x14ac:dyDescent="0.35">
      <c r="A1255">
        <v>2018</v>
      </c>
      <c r="B1255" t="s">
        <v>57</v>
      </c>
      <c r="C1255" t="s">
        <v>6</v>
      </c>
      <c r="D1255" s="1">
        <v>23279</v>
      </c>
      <c r="E1255" s="1">
        <v>221029</v>
      </c>
      <c r="F1255" s="2">
        <v>87958</v>
      </c>
    </row>
    <row r="1256" spans="1:6" x14ac:dyDescent="0.35">
      <c r="A1256">
        <v>2018</v>
      </c>
      <c r="B1256" t="s">
        <v>57</v>
      </c>
      <c r="C1256" t="s">
        <v>7</v>
      </c>
      <c r="D1256" s="1">
        <v>8956</v>
      </c>
      <c r="E1256" s="1">
        <v>63405</v>
      </c>
      <c r="F1256" s="2">
        <v>80066</v>
      </c>
    </row>
    <row r="1257" spans="1:6" x14ac:dyDescent="0.35">
      <c r="A1257">
        <v>2018</v>
      </c>
      <c r="B1257" t="s">
        <v>57</v>
      </c>
      <c r="C1257" t="s">
        <v>8</v>
      </c>
      <c r="D1257" s="1">
        <v>161890</v>
      </c>
      <c r="E1257" s="1">
        <v>1365136</v>
      </c>
      <c r="F1257" s="2">
        <v>60914</v>
      </c>
    </row>
    <row r="1258" spans="1:6" x14ac:dyDescent="0.35">
      <c r="A1258">
        <v>2018</v>
      </c>
      <c r="B1258" t="s">
        <v>57</v>
      </c>
      <c r="C1258" t="s">
        <v>9</v>
      </c>
      <c r="D1258" s="1">
        <v>54714</v>
      </c>
      <c r="E1258" s="1">
        <v>687321</v>
      </c>
      <c r="F1258" s="2">
        <v>66989</v>
      </c>
    </row>
    <row r="1259" spans="1:6" x14ac:dyDescent="0.35">
      <c r="A1259">
        <v>2018</v>
      </c>
      <c r="B1259" t="s">
        <v>57</v>
      </c>
      <c r="C1259" t="s">
        <v>10</v>
      </c>
      <c r="D1259" s="1">
        <v>11562</v>
      </c>
      <c r="E1259" s="1">
        <v>91631</v>
      </c>
      <c r="F1259" s="2">
        <v>51695</v>
      </c>
    </row>
    <row r="1260" spans="1:6" x14ac:dyDescent="0.35">
      <c r="A1260">
        <v>2018</v>
      </c>
      <c r="B1260" t="s">
        <v>57</v>
      </c>
      <c r="C1260" t="s">
        <v>11</v>
      </c>
      <c r="D1260" s="1">
        <v>74587</v>
      </c>
      <c r="E1260" s="1">
        <v>948766</v>
      </c>
      <c r="F1260" s="2">
        <v>76586</v>
      </c>
    </row>
    <row r="1261" spans="1:6" x14ac:dyDescent="0.35">
      <c r="A1261">
        <v>2018</v>
      </c>
      <c r="B1261" t="s">
        <v>57</v>
      </c>
      <c r="C1261" t="s">
        <v>12</v>
      </c>
      <c r="D1261" s="1">
        <v>29755</v>
      </c>
      <c r="E1261" s="1">
        <v>342835</v>
      </c>
      <c r="F1261" s="2">
        <v>52468</v>
      </c>
    </row>
    <row r="1262" spans="1:6" x14ac:dyDescent="0.35">
      <c r="A1262">
        <v>2018</v>
      </c>
      <c r="B1262" t="s">
        <v>57</v>
      </c>
      <c r="C1262" t="s">
        <v>13</v>
      </c>
      <c r="D1262" s="1">
        <v>15839</v>
      </c>
      <c r="E1262" s="1">
        <v>140535</v>
      </c>
      <c r="F1262" s="2">
        <v>54071</v>
      </c>
    </row>
    <row r="1263" spans="1:6" x14ac:dyDescent="0.35">
      <c r="A1263">
        <v>2018</v>
      </c>
      <c r="B1263" t="s">
        <v>57</v>
      </c>
      <c r="C1263" t="s">
        <v>14</v>
      </c>
      <c r="D1263" s="1">
        <v>16731</v>
      </c>
      <c r="E1263" s="1">
        <v>179413</v>
      </c>
      <c r="F1263" s="2">
        <v>61288</v>
      </c>
    </row>
    <row r="1264" spans="1:6" x14ac:dyDescent="0.35">
      <c r="A1264">
        <v>2018</v>
      </c>
      <c r="B1264" t="s">
        <v>57</v>
      </c>
      <c r="C1264" t="s">
        <v>15</v>
      </c>
      <c r="D1264" s="1">
        <v>20542</v>
      </c>
      <c r="E1264" s="1">
        <v>217081</v>
      </c>
      <c r="F1264" s="2">
        <v>50087</v>
      </c>
    </row>
    <row r="1265" spans="1:6" x14ac:dyDescent="0.35">
      <c r="A1265">
        <v>2018</v>
      </c>
      <c r="B1265" t="s">
        <v>57</v>
      </c>
      <c r="C1265" t="s">
        <v>16</v>
      </c>
      <c r="D1265" s="1">
        <v>24537</v>
      </c>
      <c r="E1265" s="1">
        <v>213171</v>
      </c>
      <c r="F1265" s="2">
        <v>56446</v>
      </c>
    </row>
    <row r="1266" spans="1:6" x14ac:dyDescent="0.35">
      <c r="A1266">
        <v>2018</v>
      </c>
      <c r="B1266" t="s">
        <v>57</v>
      </c>
      <c r="C1266" t="s">
        <v>17</v>
      </c>
      <c r="D1266" s="1">
        <v>9940</v>
      </c>
      <c r="E1266" s="1">
        <v>69285</v>
      </c>
      <c r="F1266" s="2">
        <v>57328</v>
      </c>
    </row>
    <row r="1267" spans="1:6" x14ac:dyDescent="0.35">
      <c r="A1267">
        <v>2018</v>
      </c>
      <c r="B1267" t="s">
        <v>57</v>
      </c>
      <c r="C1267" t="s">
        <v>18</v>
      </c>
      <c r="D1267" s="1">
        <v>42809</v>
      </c>
      <c r="E1267" s="1">
        <v>452753</v>
      </c>
      <c r="F1267" s="2">
        <v>79500</v>
      </c>
    </row>
    <row r="1268" spans="1:6" x14ac:dyDescent="0.35">
      <c r="A1268">
        <v>2018</v>
      </c>
      <c r="B1268" t="s">
        <v>57</v>
      </c>
      <c r="C1268" t="s">
        <v>19</v>
      </c>
      <c r="D1268" s="1">
        <v>47416</v>
      </c>
      <c r="E1268" s="1">
        <v>587518</v>
      </c>
      <c r="F1268" s="2">
        <v>107875</v>
      </c>
    </row>
    <row r="1269" spans="1:6" x14ac:dyDescent="0.35">
      <c r="A1269">
        <v>2018</v>
      </c>
      <c r="B1269" t="s">
        <v>57</v>
      </c>
      <c r="C1269" t="s">
        <v>20</v>
      </c>
      <c r="D1269" s="1">
        <v>42545</v>
      </c>
      <c r="E1269" s="1">
        <v>657930</v>
      </c>
      <c r="F1269" s="2">
        <v>69377</v>
      </c>
    </row>
    <row r="1270" spans="1:6" x14ac:dyDescent="0.35">
      <c r="A1270">
        <v>2018</v>
      </c>
      <c r="B1270" t="s">
        <v>57</v>
      </c>
      <c r="C1270" t="s">
        <v>21</v>
      </c>
      <c r="D1270" s="1">
        <v>32020</v>
      </c>
      <c r="E1270" s="1">
        <v>378493</v>
      </c>
      <c r="F1270" s="2">
        <v>82535</v>
      </c>
    </row>
    <row r="1271" spans="1:6" x14ac:dyDescent="0.35">
      <c r="A1271">
        <v>2018</v>
      </c>
      <c r="B1271" t="s">
        <v>57</v>
      </c>
      <c r="C1271" t="s">
        <v>22</v>
      </c>
      <c r="D1271" s="1">
        <v>12259</v>
      </c>
      <c r="E1271" s="1">
        <v>109842</v>
      </c>
      <c r="F1271" s="2">
        <v>42132</v>
      </c>
    </row>
    <row r="1272" spans="1:6" x14ac:dyDescent="0.35">
      <c r="A1272">
        <v>2018</v>
      </c>
      <c r="B1272" t="s">
        <v>57</v>
      </c>
      <c r="C1272" t="s">
        <v>23</v>
      </c>
      <c r="D1272" s="1">
        <v>32577</v>
      </c>
      <c r="E1272" s="1">
        <v>385727</v>
      </c>
      <c r="F1272" s="2">
        <v>66429</v>
      </c>
    </row>
    <row r="1273" spans="1:6" x14ac:dyDescent="0.35">
      <c r="A1273">
        <v>2018</v>
      </c>
      <c r="B1273" t="s">
        <v>57</v>
      </c>
      <c r="C1273" t="s">
        <v>24</v>
      </c>
      <c r="D1273" s="1">
        <v>9359</v>
      </c>
      <c r="E1273" s="1">
        <v>42410</v>
      </c>
      <c r="F1273" s="2">
        <v>52271</v>
      </c>
    </row>
    <row r="1274" spans="1:6" x14ac:dyDescent="0.35">
      <c r="A1274">
        <v>2018</v>
      </c>
      <c r="B1274" t="s">
        <v>57</v>
      </c>
      <c r="C1274" t="s">
        <v>25</v>
      </c>
      <c r="D1274" s="1">
        <v>11582</v>
      </c>
      <c r="E1274" s="1">
        <v>119167</v>
      </c>
      <c r="F1274" s="2">
        <v>58836</v>
      </c>
    </row>
    <row r="1275" spans="1:6" x14ac:dyDescent="0.35">
      <c r="A1275">
        <v>2018</v>
      </c>
      <c r="B1275" t="s">
        <v>57</v>
      </c>
      <c r="C1275" t="s">
        <v>26</v>
      </c>
      <c r="D1275" s="1">
        <v>19970</v>
      </c>
      <c r="E1275" s="1">
        <v>190736</v>
      </c>
      <c r="F1275" s="2">
        <v>61821</v>
      </c>
    </row>
    <row r="1276" spans="1:6" x14ac:dyDescent="0.35">
      <c r="A1276">
        <v>2018</v>
      </c>
      <c r="B1276" t="s">
        <v>57</v>
      </c>
      <c r="C1276" t="s">
        <v>27</v>
      </c>
      <c r="D1276" s="1">
        <v>12323</v>
      </c>
      <c r="E1276" s="1">
        <v>82831</v>
      </c>
      <c r="F1276" s="2">
        <v>77486</v>
      </c>
    </row>
    <row r="1277" spans="1:6" x14ac:dyDescent="0.35">
      <c r="A1277">
        <v>2018</v>
      </c>
      <c r="B1277" t="s">
        <v>57</v>
      </c>
      <c r="C1277" t="s">
        <v>28</v>
      </c>
      <c r="D1277" s="1">
        <v>51837</v>
      </c>
      <c r="E1277" s="1">
        <v>671419</v>
      </c>
      <c r="F1277" s="2">
        <v>90784</v>
      </c>
    </row>
    <row r="1278" spans="1:6" x14ac:dyDescent="0.35">
      <c r="A1278">
        <v>2018</v>
      </c>
      <c r="B1278" t="s">
        <v>57</v>
      </c>
      <c r="C1278" t="s">
        <v>29</v>
      </c>
      <c r="D1278" s="1">
        <v>10669</v>
      </c>
      <c r="E1278" s="1">
        <v>106930</v>
      </c>
      <c r="F1278" s="2">
        <v>61899</v>
      </c>
    </row>
    <row r="1279" spans="1:6" x14ac:dyDescent="0.35">
      <c r="A1279">
        <v>2018</v>
      </c>
      <c r="B1279" t="s">
        <v>57</v>
      </c>
      <c r="C1279" t="s">
        <v>30</v>
      </c>
      <c r="D1279" s="1">
        <v>112471</v>
      </c>
      <c r="E1279" s="1">
        <v>1339421</v>
      </c>
      <c r="F1279" s="2">
        <v>95057</v>
      </c>
    </row>
    <row r="1280" spans="1:6" x14ac:dyDescent="0.35">
      <c r="A1280">
        <v>2018</v>
      </c>
      <c r="B1280" t="s">
        <v>57</v>
      </c>
      <c r="C1280" t="s">
        <v>31</v>
      </c>
      <c r="D1280" s="1">
        <v>58892</v>
      </c>
      <c r="E1280" s="1">
        <v>635554</v>
      </c>
      <c r="F1280" s="2">
        <v>65609</v>
      </c>
    </row>
    <row r="1281" spans="1:6" x14ac:dyDescent="0.35">
      <c r="A1281">
        <v>2018</v>
      </c>
      <c r="B1281" t="s">
        <v>57</v>
      </c>
      <c r="C1281" t="s">
        <v>32</v>
      </c>
      <c r="D1281" s="1">
        <v>5130</v>
      </c>
      <c r="E1281" s="1">
        <v>34560</v>
      </c>
      <c r="F1281" s="2">
        <v>61774</v>
      </c>
    </row>
    <row r="1282" spans="1:6" x14ac:dyDescent="0.35">
      <c r="A1282">
        <v>2018</v>
      </c>
      <c r="B1282" t="s">
        <v>57</v>
      </c>
      <c r="C1282" t="s">
        <v>33</v>
      </c>
      <c r="D1282" s="1">
        <v>53280</v>
      </c>
      <c r="E1282" s="1">
        <v>729430</v>
      </c>
      <c r="F1282" s="2">
        <v>64006</v>
      </c>
    </row>
    <row r="1283" spans="1:6" x14ac:dyDescent="0.35">
      <c r="A1283">
        <v>2018</v>
      </c>
      <c r="B1283" t="s">
        <v>57</v>
      </c>
      <c r="C1283" t="s">
        <v>34</v>
      </c>
      <c r="D1283" s="1">
        <v>20594</v>
      </c>
      <c r="E1283" s="1">
        <v>191261</v>
      </c>
      <c r="F1283" s="2">
        <v>52227</v>
      </c>
    </row>
    <row r="1284" spans="1:6" x14ac:dyDescent="0.35">
      <c r="A1284">
        <v>2018</v>
      </c>
      <c r="B1284" t="s">
        <v>57</v>
      </c>
      <c r="C1284" t="s">
        <v>35</v>
      </c>
      <c r="D1284" s="1">
        <v>25462</v>
      </c>
      <c r="E1284" s="1">
        <v>248627</v>
      </c>
      <c r="F1284" s="2">
        <v>69806</v>
      </c>
    </row>
    <row r="1285" spans="1:6" x14ac:dyDescent="0.35">
      <c r="A1285">
        <v>2018</v>
      </c>
      <c r="B1285" t="s">
        <v>57</v>
      </c>
      <c r="C1285" t="s">
        <v>36</v>
      </c>
      <c r="D1285" s="1">
        <v>63415</v>
      </c>
      <c r="E1285" s="1">
        <v>806555</v>
      </c>
      <c r="F1285" s="2">
        <v>78092</v>
      </c>
    </row>
    <row r="1286" spans="1:6" x14ac:dyDescent="0.35">
      <c r="A1286">
        <v>2018</v>
      </c>
      <c r="B1286" t="s">
        <v>57</v>
      </c>
      <c r="C1286" t="s">
        <v>37</v>
      </c>
      <c r="D1286" s="1">
        <v>8651</v>
      </c>
      <c r="E1286" s="1">
        <v>68430</v>
      </c>
      <c r="F1286" s="2">
        <v>68957</v>
      </c>
    </row>
    <row r="1287" spans="1:6" x14ac:dyDescent="0.35">
      <c r="A1287">
        <v>2018</v>
      </c>
      <c r="B1287" t="s">
        <v>57</v>
      </c>
      <c r="C1287" t="s">
        <v>38</v>
      </c>
      <c r="D1287" s="1">
        <v>26993</v>
      </c>
      <c r="E1287" s="1">
        <v>293499</v>
      </c>
      <c r="F1287" s="2">
        <v>50391</v>
      </c>
    </row>
    <row r="1288" spans="1:6" x14ac:dyDescent="0.35">
      <c r="A1288">
        <v>2018</v>
      </c>
      <c r="B1288" t="s">
        <v>57</v>
      </c>
      <c r="C1288" t="s">
        <v>39</v>
      </c>
      <c r="D1288" s="1">
        <v>5205</v>
      </c>
      <c r="E1288" s="1">
        <v>32354</v>
      </c>
      <c r="F1288" s="2">
        <v>56384</v>
      </c>
    </row>
    <row r="1289" spans="1:6" x14ac:dyDescent="0.35">
      <c r="A1289">
        <v>2018</v>
      </c>
      <c r="B1289" t="s">
        <v>57</v>
      </c>
      <c r="C1289" t="s">
        <v>40</v>
      </c>
      <c r="D1289" s="1">
        <v>29519</v>
      </c>
      <c r="E1289" s="1">
        <v>417345</v>
      </c>
      <c r="F1289" s="2">
        <v>59851</v>
      </c>
    </row>
    <row r="1290" spans="1:6" x14ac:dyDescent="0.35">
      <c r="A1290">
        <v>2018</v>
      </c>
      <c r="B1290" t="s">
        <v>57</v>
      </c>
      <c r="C1290" t="s">
        <v>41</v>
      </c>
      <c r="D1290" s="1">
        <v>134025</v>
      </c>
      <c r="E1290" s="1">
        <v>1736415</v>
      </c>
      <c r="F1290" s="2">
        <v>74443</v>
      </c>
    </row>
    <row r="1291" spans="1:6" x14ac:dyDescent="0.35">
      <c r="A1291">
        <v>2018</v>
      </c>
      <c r="B1291" t="s">
        <v>57</v>
      </c>
      <c r="C1291" t="s">
        <v>42</v>
      </c>
      <c r="D1291" s="1">
        <v>23036</v>
      </c>
      <c r="E1291" s="1">
        <v>215564</v>
      </c>
      <c r="F1291" s="2">
        <v>59543</v>
      </c>
    </row>
    <row r="1292" spans="1:6" x14ac:dyDescent="0.35">
      <c r="A1292">
        <v>2018</v>
      </c>
      <c r="B1292" t="s">
        <v>57</v>
      </c>
      <c r="C1292" t="s">
        <v>43</v>
      </c>
      <c r="D1292" s="1">
        <v>5661</v>
      </c>
      <c r="E1292" s="1">
        <v>28976</v>
      </c>
      <c r="F1292" s="2">
        <v>64917</v>
      </c>
    </row>
    <row r="1293" spans="1:6" x14ac:dyDescent="0.35">
      <c r="A1293">
        <v>2018</v>
      </c>
      <c r="B1293" t="s">
        <v>57</v>
      </c>
      <c r="C1293" t="s">
        <v>44</v>
      </c>
      <c r="D1293" s="1">
        <v>58849</v>
      </c>
      <c r="E1293" s="1">
        <v>746452</v>
      </c>
      <c r="F1293" s="2">
        <v>87511</v>
      </c>
    </row>
    <row r="1294" spans="1:6" x14ac:dyDescent="0.35">
      <c r="A1294">
        <v>2018</v>
      </c>
      <c r="B1294" t="s">
        <v>57</v>
      </c>
      <c r="C1294" t="s">
        <v>45</v>
      </c>
      <c r="D1294" s="1">
        <v>40209</v>
      </c>
      <c r="E1294" s="1">
        <v>414712</v>
      </c>
      <c r="F1294" s="2">
        <v>82245</v>
      </c>
    </row>
    <row r="1295" spans="1:6" x14ac:dyDescent="0.35">
      <c r="A1295">
        <v>2018</v>
      </c>
      <c r="B1295" t="s">
        <v>57</v>
      </c>
      <c r="C1295" t="s">
        <v>46</v>
      </c>
      <c r="D1295" s="1">
        <v>8323</v>
      </c>
      <c r="E1295" s="1">
        <v>68965</v>
      </c>
      <c r="F1295" s="2">
        <v>51745</v>
      </c>
    </row>
    <row r="1296" spans="1:6" x14ac:dyDescent="0.35">
      <c r="A1296">
        <v>2018</v>
      </c>
      <c r="B1296" t="s">
        <v>57</v>
      </c>
      <c r="C1296" t="s">
        <v>47</v>
      </c>
      <c r="D1296" s="1">
        <v>25856</v>
      </c>
      <c r="E1296" s="1">
        <v>327719</v>
      </c>
      <c r="F1296" s="2">
        <v>60773</v>
      </c>
    </row>
    <row r="1297" spans="1:6" x14ac:dyDescent="0.35">
      <c r="A1297">
        <v>2018</v>
      </c>
      <c r="B1297" t="s">
        <v>57</v>
      </c>
      <c r="C1297" t="s">
        <v>48</v>
      </c>
      <c r="D1297" s="1">
        <v>4559</v>
      </c>
      <c r="E1297" s="1">
        <v>18733</v>
      </c>
      <c r="F1297" s="2">
        <v>52783</v>
      </c>
    </row>
    <row r="1298" spans="1:6" x14ac:dyDescent="0.35">
      <c r="A1298">
        <v>2018</v>
      </c>
      <c r="B1298" t="s">
        <v>58</v>
      </c>
      <c r="C1298" t="s">
        <v>1</v>
      </c>
      <c r="D1298" s="1">
        <v>12678</v>
      </c>
      <c r="E1298" s="1">
        <v>233306</v>
      </c>
      <c r="F1298" s="2">
        <v>46432</v>
      </c>
    </row>
    <row r="1299" spans="1:6" x14ac:dyDescent="0.35">
      <c r="A1299">
        <v>2018</v>
      </c>
      <c r="B1299" t="s">
        <v>58</v>
      </c>
      <c r="C1299" t="s">
        <v>2</v>
      </c>
      <c r="D1299" s="1">
        <v>18037</v>
      </c>
      <c r="E1299" s="1">
        <v>440616</v>
      </c>
      <c r="F1299" s="2">
        <v>51125</v>
      </c>
    </row>
    <row r="1300" spans="1:6" x14ac:dyDescent="0.35">
      <c r="A1300">
        <v>2018</v>
      </c>
      <c r="B1300" t="s">
        <v>58</v>
      </c>
      <c r="C1300" t="s">
        <v>3</v>
      </c>
      <c r="D1300" s="1">
        <v>15788</v>
      </c>
      <c r="E1300" s="1">
        <v>186119</v>
      </c>
      <c r="F1300" s="2">
        <v>42468</v>
      </c>
    </row>
    <row r="1301" spans="1:6" x14ac:dyDescent="0.35">
      <c r="A1301">
        <v>2018</v>
      </c>
      <c r="B1301" t="s">
        <v>58</v>
      </c>
      <c r="C1301" t="s">
        <v>4</v>
      </c>
      <c r="D1301" s="1">
        <v>618901</v>
      </c>
      <c r="E1301" s="1">
        <v>2649228</v>
      </c>
      <c r="F1301" s="2">
        <v>52187</v>
      </c>
    </row>
    <row r="1302" spans="1:6" x14ac:dyDescent="0.35">
      <c r="A1302">
        <v>2018</v>
      </c>
      <c r="B1302" t="s">
        <v>58</v>
      </c>
      <c r="C1302" t="s">
        <v>5</v>
      </c>
      <c r="D1302" s="1">
        <v>21666</v>
      </c>
      <c r="E1302" s="1">
        <v>335274</v>
      </c>
      <c r="F1302" s="2">
        <v>50156</v>
      </c>
    </row>
    <row r="1303" spans="1:6" x14ac:dyDescent="0.35">
      <c r="A1303">
        <v>2018</v>
      </c>
      <c r="B1303" t="s">
        <v>58</v>
      </c>
      <c r="C1303" t="s">
        <v>6</v>
      </c>
      <c r="D1303" s="1">
        <v>13090</v>
      </c>
      <c r="E1303" s="1">
        <v>326866</v>
      </c>
      <c r="F1303" s="2">
        <v>55369</v>
      </c>
    </row>
    <row r="1304" spans="1:6" x14ac:dyDescent="0.35">
      <c r="A1304">
        <v>2018</v>
      </c>
      <c r="B1304" t="s">
        <v>58</v>
      </c>
      <c r="C1304" t="s">
        <v>7</v>
      </c>
      <c r="D1304" s="1">
        <v>5063</v>
      </c>
      <c r="E1304" s="1">
        <v>75524</v>
      </c>
      <c r="F1304" s="2">
        <v>53795</v>
      </c>
    </row>
    <row r="1305" spans="1:6" x14ac:dyDescent="0.35">
      <c r="A1305">
        <v>2018</v>
      </c>
      <c r="B1305" t="s">
        <v>58</v>
      </c>
      <c r="C1305" t="s">
        <v>8</v>
      </c>
      <c r="D1305" s="1">
        <v>73761</v>
      </c>
      <c r="E1305" s="1">
        <v>1287814</v>
      </c>
      <c r="F1305" s="2">
        <v>50781</v>
      </c>
    </row>
    <row r="1306" spans="1:6" x14ac:dyDescent="0.35">
      <c r="A1306">
        <v>2018</v>
      </c>
      <c r="B1306" t="s">
        <v>58</v>
      </c>
      <c r="C1306" t="s">
        <v>9</v>
      </c>
      <c r="D1306" s="1">
        <v>28952</v>
      </c>
      <c r="E1306" s="1">
        <v>562436</v>
      </c>
      <c r="F1306" s="2">
        <v>52062</v>
      </c>
    </row>
    <row r="1307" spans="1:6" x14ac:dyDescent="0.35">
      <c r="A1307">
        <v>2018</v>
      </c>
      <c r="B1307" t="s">
        <v>58</v>
      </c>
      <c r="C1307" t="s">
        <v>10</v>
      </c>
      <c r="D1307" s="1">
        <v>7824</v>
      </c>
      <c r="E1307" s="1">
        <v>100212</v>
      </c>
      <c r="F1307" s="2">
        <v>42047</v>
      </c>
    </row>
    <row r="1308" spans="1:6" x14ac:dyDescent="0.35">
      <c r="A1308">
        <v>2018</v>
      </c>
      <c r="B1308" t="s">
        <v>58</v>
      </c>
      <c r="C1308" t="s">
        <v>11</v>
      </c>
      <c r="D1308" s="1">
        <v>34720</v>
      </c>
      <c r="E1308" s="1">
        <v>919288</v>
      </c>
      <c r="F1308" s="2">
        <v>50959</v>
      </c>
    </row>
    <row r="1309" spans="1:6" x14ac:dyDescent="0.35">
      <c r="A1309">
        <v>2018</v>
      </c>
      <c r="B1309" t="s">
        <v>58</v>
      </c>
      <c r="C1309" t="s">
        <v>12</v>
      </c>
      <c r="D1309" s="1">
        <v>15692</v>
      </c>
      <c r="E1309" s="1">
        <v>459398</v>
      </c>
      <c r="F1309" s="2">
        <v>47681</v>
      </c>
    </row>
    <row r="1310" spans="1:6" x14ac:dyDescent="0.35">
      <c r="A1310">
        <v>2018</v>
      </c>
      <c r="B1310" t="s">
        <v>58</v>
      </c>
      <c r="C1310" t="s">
        <v>13</v>
      </c>
      <c r="D1310" s="1">
        <v>11589</v>
      </c>
      <c r="E1310" s="1">
        <v>219674</v>
      </c>
      <c r="F1310" s="2">
        <v>43022</v>
      </c>
    </row>
    <row r="1311" spans="1:6" x14ac:dyDescent="0.35">
      <c r="A1311">
        <v>2018</v>
      </c>
      <c r="B1311" t="s">
        <v>58</v>
      </c>
      <c r="C1311" t="s">
        <v>14</v>
      </c>
      <c r="D1311" s="1">
        <v>10277</v>
      </c>
      <c r="E1311" s="1">
        <v>195132</v>
      </c>
      <c r="F1311" s="2">
        <v>42586</v>
      </c>
    </row>
    <row r="1312" spans="1:6" x14ac:dyDescent="0.35">
      <c r="A1312">
        <v>2018</v>
      </c>
      <c r="B1312" t="s">
        <v>58</v>
      </c>
      <c r="C1312" t="s">
        <v>15</v>
      </c>
      <c r="D1312" s="1">
        <v>18161</v>
      </c>
      <c r="E1312" s="1">
        <v>267486</v>
      </c>
      <c r="F1312" s="2">
        <v>48210</v>
      </c>
    </row>
    <row r="1313" spans="1:6" x14ac:dyDescent="0.35">
      <c r="A1313">
        <v>2018</v>
      </c>
      <c r="B1313" t="s">
        <v>58</v>
      </c>
      <c r="C1313" t="s">
        <v>16</v>
      </c>
      <c r="D1313" s="1">
        <v>15480</v>
      </c>
      <c r="E1313" s="1">
        <v>300015</v>
      </c>
      <c r="F1313" s="2">
        <v>43339</v>
      </c>
    </row>
    <row r="1314" spans="1:6" x14ac:dyDescent="0.35">
      <c r="A1314">
        <v>2018</v>
      </c>
      <c r="B1314" t="s">
        <v>58</v>
      </c>
      <c r="C1314" t="s">
        <v>17</v>
      </c>
      <c r="D1314" s="1">
        <v>5483</v>
      </c>
      <c r="E1314" s="1">
        <v>118009</v>
      </c>
      <c r="F1314" s="2">
        <v>47535</v>
      </c>
    </row>
    <row r="1315" spans="1:6" x14ac:dyDescent="0.35">
      <c r="A1315">
        <v>2018</v>
      </c>
      <c r="B1315" t="s">
        <v>58</v>
      </c>
      <c r="C1315" t="s">
        <v>18</v>
      </c>
      <c r="D1315" s="1">
        <v>20856</v>
      </c>
      <c r="E1315" s="1">
        <v>445328</v>
      </c>
      <c r="F1315" s="2">
        <v>54310</v>
      </c>
    </row>
    <row r="1316" spans="1:6" x14ac:dyDescent="0.35">
      <c r="A1316">
        <v>2018</v>
      </c>
      <c r="B1316" t="s">
        <v>58</v>
      </c>
      <c r="C1316" t="s">
        <v>19</v>
      </c>
      <c r="D1316" s="1">
        <v>66364</v>
      </c>
      <c r="E1316" s="1">
        <v>773683</v>
      </c>
      <c r="F1316" s="2">
        <v>58448</v>
      </c>
    </row>
    <row r="1317" spans="1:6" x14ac:dyDescent="0.35">
      <c r="A1317">
        <v>2018</v>
      </c>
      <c r="B1317" t="s">
        <v>58</v>
      </c>
      <c r="C1317" t="s">
        <v>20</v>
      </c>
      <c r="D1317" s="1">
        <v>24822</v>
      </c>
      <c r="E1317" s="1">
        <v>659230</v>
      </c>
      <c r="F1317" s="2">
        <v>49739</v>
      </c>
    </row>
    <row r="1318" spans="1:6" x14ac:dyDescent="0.35">
      <c r="A1318">
        <v>2018</v>
      </c>
      <c r="B1318" t="s">
        <v>58</v>
      </c>
      <c r="C1318" t="s">
        <v>21</v>
      </c>
      <c r="D1318" s="1">
        <v>19210</v>
      </c>
      <c r="E1318" s="1">
        <v>526556</v>
      </c>
      <c r="F1318" s="2">
        <v>51469</v>
      </c>
    </row>
    <row r="1319" spans="1:6" x14ac:dyDescent="0.35">
      <c r="A1319">
        <v>2018</v>
      </c>
      <c r="B1319" t="s">
        <v>58</v>
      </c>
      <c r="C1319" t="s">
        <v>22</v>
      </c>
      <c r="D1319" s="1">
        <v>7531</v>
      </c>
      <c r="E1319" s="1">
        <v>144105</v>
      </c>
      <c r="F1319" s="2">
        <v>41620</v>
      </c>
    </row>
    <row r="1320" spans="1:6" x14ac:dyDescent="0.35">
      <c r="A1320">
        <v>2018</v>
      </c>
      <c r="B1320" t="s">
        <v>58</v>
      </c>
      <c r="C1320" t="s">
        <v>23</v>
      </c>
      <c r="D1320" s="1">
        <v>48555</v>
      </c>
      <c r="E1320" s="1">
        <v>454728</v>
      </c>
      <c r="F1320" s="2">
        <v>46127</v>
      </c>
    </row>
    <row r="1321" spans="1:6" x14ac:dyDescent="0.35">
      <c r="A1321">
        <v>2018</v>
      </c>
      <c r="B1321" t="s">
        <v>58</v>
      </c>
      <c r="C1321" t="s">
        <v>24</v>
      </c>
      <c r="D1321" s="1">
        <v>4637</v>
      </c>
      <c r="E1321" s="1">
        <v>73530</v>
      </c>
      <c r="F1321" s="2">
        <v>47539</v>
      </c>
    </row>
    <row r="1322" spans="1:6" x14ac:dyDescent="0.35">
      <c r="A1322">
        <v>2018</v>
      </c>
      <c r="B1322" t="s">
        <v>58</v>
      </c>
      <c r="C1322" t="s">
        <v>25</v>
      </c>
      <c r="D1322" s="1">
        <v>12205</v>
      </c>
      <c r="E1322" s="1">
        <v>138155</v>
      </c>
      <c r="F1322" s="2">
        <v>46678</v>
      </c>
    </row>
    <row r="1323" spans="1:6" x14ac:dyDescent="0.35">
      <c r="A1323">
        <v>2018</v>
      </c>
      <c r="B1323" t="s">
        <v>58</v>
      </c>
      <c r="C1323" t="s">
        <v>26</v>
      </c>
      <c r="D1323" s="1">
        <v>8913</v>
      </c>
      <c r="E1323" s="1">
        <v>139036</v>
      </c>
      <c r="F1323" s="2">
        <v>54167</v>
      </c>
    </row>
    <row r="1324" spans="1:6" x14ac:dyDescent="0.35">
      <c r="A1324">
        <v>2018</v>
      </c>
      <c r="B1324" t="s">
        <v>58</v>
      </c>
      <c r="C1324" t="s">
        <v>27</v>
      </c>
      <c r="D1324" s="1">
        <v>4700</v>
      </c>
      <c r="E1324" s="1">
        <v>112567</v>
      </c>
      <c r="F1324" s="2">
        <v>56317</v>
      </c>
    </row>
    <row r="1325" spans="1:6" x14ac:dyDescent="0.35">
      <c r="A1325">
        <v>2018</v>
      </c>
      <c r="B1325" t="s">
        <v>58</v>
      </c>
      <c r="C1325" t="s">
        <v>28</v>
      </c>
      <c r="D1325" s="1">
        <v>37328</v>
      </c>
      <c r="E1325" s="1">
        <v>656716</v>
      </c>
      <c r="F1325" s="2">
        <v>53402</v>
      </c>
    </row>
    <row r="1326" spans="1:6" x14ac:dyDescent="0.35">
      <c r="A1326">
        <v>2018</v>
      </c>
      <c r="B1326" t="s">
        <v>58</v>
      </c>
      <c r="C1326" t="s">
        <v>29</v>
      </c>
      <c r="D1326" s="1">
        <v>10221</v>
      </c>
      <c r="E1326" s="1">
        <v>128590</v>
      </c>
      <c r="F1326" s="2">
        <v>41645</v>
      </c>
    </row>
    <row r="1327" spans="1:6" x14ac:dyDescent="0.35">
      <c r="A1327">
        <v>2018</v>
      </c>
      <c r="B1327" t="s">
        <v>58</v>
      </c>
      <c r="C1327" t="s">
        <v>30</v>
      </c>
      <c r="D1327" s="1">
        <v>67399</v>
      </c>
      <c r="E1327" s="1">
        <v>1914153</v>
      </c>
      <c r="F1327" s="2">
        <v>53467</v>
      </c>
    </row>
    <row r="1328" spans="1:6" x14ac:dyDescent="0.35">
      <c r="A1328">
        <v>2018</v>
      </c>
      <c r="B1328" t="s">
        <v>58</v>
      </c>
      <c r="C1328" t="s">
        <v>31</v>
      </c>
      <c r="D1328" s="1">
        <v>27210</v>
      </c>
      <c r="E1328" s="1">
        <v>592067</v>
      </c>
      <c r="F1328" s="2">
        <v>48381</v>
      </c>
    </row>
    <row r="1329" spans="1:6" x14ac:dyDescent="0.35">
      <c r="A1329">
        <v>2018</v>
      </c>
      <c r="B1329" t="s">
        <v>58</v>
      </c>
      <c r="C1329" t="s">
        <v>32</v>
      </c>
      <c r="D1329" s="1">
        <v>2558</v>
      </c>
      <c r="E1329" s="1">
        <v>62184</v>
      </c>
      <c r="F1329" s="2">
        <v>51404</v>
      </c>
    </row>
    <row r="1330" spans="1:6" x14ac:dyDescent="0.35">
      <c r="A1330">
        <v>2018</v>
      </c>
      <c r="B1330" t="s">
        <v>58</v>
      </c>
      <c r="C1330" t="s">
        <v>33</v>
      </c>
      <c r="D1330" s="1">
        <v>34508</v>
      </c>
      <c r="E1330" s="1">
        <v>904140</v>
      </c>
      <c r="F1330" s="2">
        <v>46408</v>
      </c>
    </row>
    <row r="1331" spans="1:6" x14ac:dyDescent="0.35">
      <c r="A1331">
        <v>2018</v>
      </c>
      <c r="B1331" t="s">
        <v>58</v>
      </c>
      <c r="C1331" t="s">
        <v>34</v>
      </c>
      <c r="D1331" s="1">
        <v>13563</v>
      </c>
      <c r="E1331" s="1">
        <v>209863</v>
      </c>
      <c r="F1331" s="2">
        <v>45570</v>
      </c>
    </row>
    <row r="1332" spans="1:6" x14ac:dyDescent="0.35">
      <c r="A1332">
        <v>2018</v>
      </c>
      <c r="B1332" t="s">
        <v>58</v>
      </c>
      <c r="C1332" t="s">
        <v>35</v>
      </c>
      <c r="D1332" s="1">
        <v>15708</v>
      </c>
      <c r="E1332" s="1">
        <v>288939</v>
      </c>
      <c r="F1332" s="2">
        <v>50107</v>
      </c>
    </row>
    <row r="1333" spans="1:6" x14ac:dyDescent="0.35">
      <c r="A1333">
        <v>2018</v>
      </c>
      <c r="B1333" t="s">
        <v>58</v>
      </c>
      <c r="C1333" t="s">
        <v>36</v>
      </c>
      <c r="D1333" s="1">
        <v>57768</v>
      </c>
      <c r="E1333" s="1">
        <v>1209344</v>
      </c>
      <c r="F1333" s="2">
        <v>51808</v>
      </c>
    </row>
    <row r="1334" spans="1:6" x14ac:dyDescent="0.35">
      <c r="A1334">
        <v>2018</v>
      </c>
      <c r="B1334" t="s">
        <v>58</v>
      </c>
      <c r="C1334" t="s">
        <v>37</v>
      </c>
      <c r="D1334" s="1">
        <v>4545</v>
      </c>
      <c r="E1334" s="1">
        <v>100506</v>
      </c>
      <c r="F1334" s="2">
        <v>48716</v>
      </c>
    </row>
    <row r="1335" spans="1:6" x14ac:dyDescent="0.35">
      <c r="A1335">
        <v>2018</v>
      </c>
      <c r="B1335" t="s">
        <v>58</v>
      </c>
      <c r="C1335" t="s">
        <v>38</v>
      </c>
      <c r="D1335" s="1">
        <v>11971</v>
      </c>
      <c r="E1335" s="1">
        <v>234487</v>
      </c>
      <c r="F1335" s="2">
        <v>45993</v>
      </c>
    </row>
    <row r="1336" spans="1:6" x14ac:dyDescent="0.35">
      <c r="A1336">
        <v>2018</v>
      </c>
      <c r="B1336" t="s">
        <v>58</v>
      </c>
      <c r="C1336" t="s">
        <v>39</v>
      </c>
      <c r="D1336" s="1">
        <v>2839</v>
      </c>
      <c r="E1336" s="1">
        <v>67868</v>
      </c>
      <c r="F1336" s="2">
        <v>50399</v>
      </c>
    </row>
    <row r="1337" spans="1:6" x14ac:dyDescent="0.35">
      <c r="A1337">
        <v>2018</v>
      </c>
      <c r="B1337" t="s">
        <v>58</v>
      </c>
      <c r="C1337" t="s">
        <v>40</v>
      </c>
      <c r="D1337" s="1">
        <v>16127</v>
      </c>
      <c r="E1337" s="1">
        <v>420817</v>
      </c>
      <c r="F1337" s="2">
        <v>52099</v>
      </c>
    </row>
    <row r="1338" spans="1:6" x14ac:dyDescent="0.35">
      <c r="A1338">
        <v>2018</v>
      </c>
      <c r="B1338" t="s">
        <v>58</v>
      </c>
      <c r="C1338" t="s">
        <v>41</v>
      </c>
      <c r="D1338" s="1">
        <v>90552</v>
      </c>
      <c r="E1338" s="1">
        <v>1641637</v>
      </c>
      <c r="F1338" s="2">
        <v>48036</v>
      </c>
    </row>
    <row r="1339" spans="1:6" x14ac:dyDescent="0.35">
      <c r="A1339">
        <v>2018</v>
      </c>
      <c r="B1339" t="s">
        <v>58</v>
      </c>
      <c r="C1339" t="s">
        <v>42</v>
      </c>
      <c r="D1339" s="1">
        <v>12264</v>
      </c>
      <c r="E1339" s="1">
        <v>186785</v>
      </c>
      <c r="F1339" s="2">
        <v>43696</v>
      </c>
    </row>
    <row r="1340" spans="1:6" x14ac:dyDescent="0.35">
      <c r="A1340">
        <v>2018</v>
      </c>
      <c r="B1340" t="s">
        <v>58</v>
      </c>
      <c r="C1340" t="s">
        <v>43</v>
      </c>
      <c r="D1340" s="1">
        <v>2463</v>
      </c>
      <c r="E1340" s="1">
        <v>62630</v>
      </c>
      <c r="F1340" s="2">
        <v>46699</v>
      </c>
    </row>
    <row r="1341" spans="1:6" x14ac:dyDescent="0.35">
      <c r="A1341">
        <v>2018</v>
      </c>
      <c r="B1341" t="s">
        <v>58</v>
      </c>
      <c r="C1341" t="s">
        <v>44</v>
      </c>
      <c r="D1341" s="1">
        <v>43566</v>
      </c>
      <c r="E1341" s="1">
        <v>505487</v>
      </c>
      <c r="F1341" s="2">
        <v>49627</v>
      </c>
    </row>
    <row r="1342" spans="1:6" x14ac:dyDescent="0.35">
      <c r="A1342">
        <v>2018</v>
      </c>
      <c r="B1342" t="s">
        <v>58</v>
      </c>
      <c r="C1342" t="s">
        <v>45</v>
      </c>
      <c r="D1342" s="1">
        <v>61026</v>
      </c>
      <c r="E1342" s="1">
        <v>465717</v>
      </c>
      <c r="F1342" s="2">
        <v>51354</v>
      </c>
    </row>
    <row r="1343" spans="1:6" x14ac:dyDescent="0.35">
      <c r="A1343">
        <v>2018</v>
      </c>
      <c r="B1343" t="s">
        <v>58</v>
      </c>
      <c r="C1343" t="s">
        <v>46</v>
      </c>
      <c r="D1343" s="1">
        <v>5765</v>
      </c>
      <c r="E1343" s="1">
        <v>124431</v>
      </c>
      <c r="F1343" s="2">
        <v>46182</v>
      </c>
    </row>
    <row r="1344" spans="1:6" x14ac:dyDescent="0.35">
      <c r="A1344">
        <v>2018</v>
      </c>
      <c r="B1344" t="s">
        <v>58</v>
      </c>
      <c r="C1344" t="s">
        <v>47</v>
      </c>
      <c r="D1344" s="1">
        <v>28013</v>
      </c>
      <c r="E1344" s="1">
        <v>434143</v>
      </c>
      <c r="F1344" s="2">
        <v>49195</v>
      </c>
    </row>
    <row r="1345" spans="1:6" x14ac:dyDescent="0.35">
      <c r="A1345">
        <v>2018</v>
      </c>
      <c r="B1345" t="s">
        <v>58</v>
      </c>
      <c r="C1345" t="s">
        <v>48</v>
      </c>
      <c r="D1345" s="1">
        <v>3338</v>
      </c>
      <c r="E1345" s="1">
        <v>26972</v>
      </c>
      <c r="F1345" s="2">
        <v>42906</v>
      </c>
    </row>
    <row r="1346" spans="1:6" x14ac:dyDescent="0.35">
      <c r="A1346">
        <v>2018</v>
      </c>
      <c r="B1346" t="s">
        <v>59</v>
      </c>
      <c r="C1346" t="s">
        <v>1</v>
      </c>
      <c r="D1346" s="1">
        <v>10993</v>
      </c>
      <c r="E1346" s="1">
        <v>205942</v>
      </c>
      <c r="F1346" s="2">
        <v>16798</v>
      </c>
    </row>
    <row r="1347" spans="1:6" x14ac:dyDescent="0.35">
      <c r="A1347">
        <v>2018</v>
      </c>
      <c r="B1347" t="s">
        <v>59</v>
      </c>
      <c r="C1347" t="s">
        <v>2</v>
      </c>
      <c r="D1347" s="1">
        <v>13627</v>
      </c>
      <c r="E1347" s="1">
        <v>325897</v>
      </c>
      <c r="F1347" s="2">
        <v>24580</v>
      </c>
    </row>
    <row r="1348" spans="1:6" x14ac:dyDescent="0.35">
      <c r="A1348">
        <v>2018</v>
      </c>
      <c r="B1348" t="s">
        <v>59</v>
      </c>
      <c r="C1348" t="s">
        <v>3</v>
      </c>
      <c r="D1348" s="1">
        <v>7168</v>
      </c>
      <c r="E1348" s="1">
        <v>118405</v>
      </c>
      <c r="F1348" s="2">
        <v>16536</v>
      </c>
    </row>
    <row r="1349" spans="1:6" x14ac:dyDescent="0.35">
      <c r="A1349">
        <v>2018</v>
      </c>
      <c r="B1349" t="s">
        <v>59</v>
      </c>
      <c r="C1349" t="s">
        <v>4</v>
      </c>
      <c r="D1349" s="1">
        <v>111455</v>
      </c>
      <c r="E1349" s="1">
        <v>1988750</v>
      </c>
      <c r="F1349" s="2">
        <v>30527</v>
      </c>
    </row>
    <row r="1350" spans="1:6" x14ac:dyDescent="0.35">
      <c r="A1350">
        <v>2018</v>
      </c>
      <c r="B1350" t="s">
        <v>59</v>
      </c>
      <c r="C1350" t="s">
        <v>5</v>
      </c>
      <c r="D1350" s="1">
        <v>16939</v>
      </c>
      <c r="E1350" s="1">
        <v>339407</v>
      </c>
      <c r="F1350" s="2">
        <v>25878</v>
      </c>
    </row>
    <row r="1351" spans="1:6" x14ac:dyDescent="0.35">
      <c r="A1351">
        <v>2018</v>
      </c>
      <c r="B1351" t="s">
        <v>59</v>
      </c>
      <c r="C1351" t="s">
        <v>6</v>
      </c>
      <c r="D1351" s="1">
        <v>10668</v>
      </c>
      <c r="E1351" s="1">
        <v>157709</v>
      </c>
      <c r="F1351" s="2">
        <v>23705</v>
      </c>
    </row>
    <row r="1352" spans="1:6" x14ac:dyDescent="0.35">
      <c r="A1352">
        <v>2018</v>
      </c>
      <c r="B1352" t="s">
        <v>59</v>
      </c>
      <c r="C1352" t="s">
        <v>7</v>
      </c>
      <c r="D1352" s="1">
        <v>2637</v>
      </c>
      <c r="E1352" s="1">
        <v>51696</v>
      </c>
      <c r="F1352" s="2">
        <v>20414</v>
      </c>
    </row>
    <row r="1353" spans="1:6" x14ac:dyDescent="0.35">
      <c r="A1353">
        <v>2018</v>
      </c>
      <c r="B1353" t="s">
        <v>59</v>
      </c>
      <c r="C1353" t="s">
        <v>8</v>
      </c>
      <c r="D1353" s="1">
        <v>56587</v>
      </c>
      <c r="E1353" s="1">
        <v>1226786</v>
      </c>
      <c r="F1353" s="2">
        <v>25881</v>
      </c>
    </row>
    <row r="1354" spans="1:6" x14ac:dyDescent="0.35">
      <c r="A1354">
        <v>2018</v>
      </c>
      <c r="B1354" t="s">
        <v>59</v>
      </c>
      <c r="C1354" t="s">
        <v>9</v>
      </c>
      <c r="D1354" s="1">
        <v>24275</v>
      </c>
      <c r="E1354" s="1">
        <v>487598</v>
      </c>
      <c r="F1354" s="2">
        <v>20604</v>
      </c>
    </row>
    <row r="1355" spans="1:6" x14ac:dyDescent="0.35">
      <c r="A1355">
        <v>2018</v>
      </c>
      <c r="B1355" t="s">
        <v>59</v>
      </c>
      <c r="C1355" t="s">
        <v>10</v>
      </c>
      <c r="D1355" s="1">
        <v>5008</v>
      </c>
      <c r="E1355" s="1">
        <v>78912</v>
      </c>
      <c r="F1355" s="2">
        <v>17141</v>
      </c>
    </row>
    <row r="1356" spans="1:6" x14ac:dyDescent="0.35">
      <c r="A1356">
        <v>2018</v>
      </c>
      <c r="B1356" t="s">
        <v>59</v>
      </c>
      <c r="C1356" t="s">
        <v>11</v>
      </c>
      <c r="D1356" s="1">
        <v>32619</v>
      </c>
      <c r="E1356" s="1">
        <v>617101</v>
      </c>
      <c r="F1356" s="2">
        <v>23765</v>
      </c>
    </row>
    <row r="1357" spans="1:6" x14ac:dyDescent="0.35">
      <c r="A1357">
        <v>2018</v>
      </c>
      <c r="B1357" t="s">
        <v>59</v>
      </c>
      <c r="C1357" t="s">
        <v>12</v>
      </c>
      <c r="D1357" s="1">
        <v>15564</v>
      </c>
      <c r="E1357" s="1">
        <v>310335</v>
      </c>
      <c r="F1357" s="2">
        <v>18981</v>
      </c>
    </row>
    <row r="1358" spans="1:6" x14ac:dyDescent="0.35">
      <c r="A1358">
        <v>2018</v>
      </c>
      <c r="B1358" t="s">
        <v>59</v>
      </c>
      <c r="C1358" t="s">
        <v>13</v>
      </c>
      <c r="D1358" s="1">
        <v>8670</v>
      </c>
      <c r="E1358" s="1">
        <v>143729</v>
      </c>
      <c r="F1358" s="2">
        <v>16799</v>
      </c>
    </row>
    <row r="1359" spans="1:6" x14ac:dyDescent="0.35">
      <c r="A1359">
        <v>2018</v>
      </c>
      <c r="B1359" t="s">
        <v>59</v>
      </c>
      <c r="C1359" t="s">
        <v>14</v>
      </c>
      <c r="D1359" s="1">
        <v>6895</v>
      </c>
      <c r="E1359" s="1">
        <v>129372</v>
      </c>
      <c r="F1359" s="2">
        <v>16764</v>
      </c>
    </row>
    <row r="1360" spans="1:6" x14ac:dyDescent="0.35">
      <c r="A1360">
        <v>2018</v>
      </c>
      <c r="B1360" t="s">
        <v>59</v>
      </c>
      <c r="C1360" t="s">
        <v>15</v>
      </c>
      <c r="D1360" s="1">
        <v>10080</v>
      </c>
      <c r="E1360" s="1">
        <v>197894</v>
      </c>
      <c r="F1360" s="2">
        <v>17719</v>
      </c>
    </row>
    <row r="1361" spans="1:6" x14ac:dyDescent="0.35">
      <c r="A1361">
        <v>2018</v>
      </c>
      <c r="B1361" t="s">
        <v>59</v>
      </c>
      <c r="C1361" t="s">
        <v>16</v>
      </c>
      <c r="D1361" s="1">
        <v>12415</v>
      </c>
      <c r="E1361" s="1">
        <v>236357</v>
      </c>
      <c r="F1361" s="2">
        <v>21264</v>
      </c>
    </row>
    <row r="1362" spans="1:6" x14ac:dyDescent="0.35">
      <c r="A1362">
        <v>2018</v>
      </c>
      <c r="B1362" t="s">
        <v>59</v>
      </c>
      <c r="C1362" t="s">
        <v>17</v>
      </c>
      <c r="D1362" s="1">
        <v>5047</v>
      </c>
      <c r="E1362" s="1">
        <v>68406</v>
      </c>
      <c r="F1362" s="2">
        <v>22087</v>
      </c>
    </row>
    <row r="1363" spans="1:6" x14ac:dyDescent="0.35">
      <c r="A1363">
        <v>2018</v>
      </c>
      <c r="B1363" t="s">
        <v>59</v>
      </c>
      <c r="C1363" t="s">
        <v>18</v>
      </c>
      <c r="D1363" s="1">
        <v>14772</v>
      </c>
      <c r="E1363" s="1">
        <v>282009</v>
      </c>
      <c r="F1363" s="2">
        <v>24012</v>
      </c>
    </row>
    <row r="1364" spans="1:6" x14ac:dyDescent="0.35">
      <c r="A1364">
        <v>2018</v>
      </c>
      <c r="B1364" t="s">
        <v>59</v>
      </c>
      <c r="C1364" t="s">
        <v>19</v>
      </c>
      <c r="D1364" s="1">
        <v>20642</v>
      </c>
      <c r="E1364" s="1">
        <v>375767</v>
      </c>
      <c r="F1364" s="2">
        <v>27758</v>
      </c>
    </row>
    <row r="1365" spans="1:6" x14ac:dyDescent="0.35">
      <c r="A1365">
        <v>2018</v>
      </c>
      <c r="B1365" t="s">
        <v>59</v>
      </c>
      <c r="C1365" t="s">
        <v>20</v>
      </c>
      <c r="D1365" s="1">
        <v>22025</v>
      </c>
      <c r="E1365" s="1">
        <v>432290</v>
      </c>
      <c r="F1365" s="2">
        <v>20566</v>
      </c>
    </row>
    <row r="1366" spans="1:6" x14ac:dyDescent="0.35">
      <c r="A1366">
        <v>2018</v>
      </c>
      <c r="B1366" t="s">
        <v>59</v>
      </c>
      <c r="C1366" t="s">
        <v>21</v>
      </c>
      <c r="D1366" s="1">
        <v>15294</v>
      </c>
      <c r="E1366" s="1">
        <v>272821</v>
      </c>
      <c r="F1366" s="2">
        <v>22507</v>
      </c>
    </row>
    <row r="1367" spans="1:6" x14ac:dyDescent="0.35">
      <c r="A1367">
        <v>2018</v>
      </c>
      <c r="B1367" t="s">
        <v>59</v>
      </c>
      <c r="C1367" t="s">
        <v>22</v>
      </c>
      <c r="D1367" s="1">
        <v>6464</v>
      </c>
      <c r="E1367" s="1">
        <v>134785</v>
      </c>
      <c r="F1367" s="2">
        <v>17523</v>
      </c>
    </row>
    <row r="1368" spans="1:6" x14ac:dyDescent="0.35">
      <c r="A1368">
        <v>2018</v>
      </c>
      <c r="B1368" t="s">
        <v>59</v>
      </c>
      <c r="C1368" t="s">
        <v>23</v>
      </c>
      <c r="D1368" s="1">
        <v>14797</v>
      </c>
      <c r="E1368" s="1">
        <v>305418</v>
      </c>
      <c r="F1368" s="2">
        <v>20892</v>
      </c>
    </row>
    <row r="1369" spans="1:6" x14ac:dyDescent="0.35">
      <c r="A1369">
        <v>2018</v>
      </c>
      <c r="B1369" t="s">
        <v>59</v>
      </c>
      <c r="C1369" t="s">
        <v>24</v>
      </c>
      <c r="D1369" s="1">
        <v>5071</v>
      </c>
      <c r="E1369" s="1">
        <v>66044</v>
      </c>
      <c r="F1369" s="2">
        <v>19150</v>
      </c>
    </row>
    <row r="1370" spans="1:6" x14ac:dyDescent="0.35">
      <c r="A1370">
        <v>2018</v>
      </c>
      <c r="B1370" t="s">
        <v>59</v>
      </c>
      <c r="C1370" t="s">
        <v>25</v>
      </c>
      <c r="D1370" s="1">
        <v>5561</v>
      </c>
      <c r="E1370" s="1">
        <v>92581</v>
      </c>
      <c r="F1370" s="2">
        <v>16715</v>
      </c>
    </row>
    <row r="1371" spans="1:6" x14ac:dyDescent="0.35">
      <c r="A1371">
        <v>2018</v>
      </c>
      <c r="B1371" t="s">
        <v>59</v>
      </c>
      <c r="C1371" t="s">
        <v>26</v>
      </c>
      <c r="D1371" s="1">
        <v>8499</v>
      </c>
      <c r="E1371" s="1">
        <v>352051</v>
      </c>
      <c r="F1371" s="2">
        <v>33688</v>
      </c>
    </row>
    <row r="1372" spans="1:6" x14ac:dyDescent="0.35">
      <c r="A1372">
        <v>2018</v>
      </c>
      <c r="B1372" t="s">
        <v>59</v>
      </c>
      <c r="C1372" t="s">
        <v>27</v>
      </c>
      <c r="D1372" s="1">
        <v>4595</v>
      </c>
      <c r="E1372" s="1">
        <v>71975</v>
      </c>
      <c r="F1372" s="2">
        <v>21945</v>
      </c>
    </row>
    <row r="1373" spans="1:6" x14ac:dyDescent="0.35">
      <c r="A1373">
        <v>2018</v>
      </c>
      <c r="B1373" t="s">
        <v>59</v>
      </c>
      <c r="C1373" t="s">
        <v>28</v>
      </c>
      <c r="D1373" s="1">
        <v>24132</v>
      </c>
      <c r="E1373" s="1">
        <v>385616</v>
      </c>
      <c r="F1373" s="2">
        <v>26316</v>
      </c>
    </row>
    <row r="1374" spans="1:6" x14ac:dyDescent="0.35">
      <c r="A1374">
        <v>2018</v>
      </c>
      <c r="B1374" t="s">
        <v>59</v>
      </c>
      <c r="C1374" t="s">
        <v>29</v>
      </c>
      <c r="D1374" s="1">
        <v>5107</v>
      </c>
      <c r="E1374" s="1">
        <v>97785</v>
      </c>
      <c r="F1374" s="2">
        <v>18651</v>
      </c>
    </row>
    <row r="1375" spans="1:6" x14ac:dyDescent="0.35">
      <c r="A1375">
        <v>2018</v>
      </c>
      <c r="B1375" t="s">
        <v>59</v>
      </c>
      <c r="C1375" t="s">
        <v>30</v>
      </c>
      <c r="D1375" s="1">
        <v>66285</v>
      </c>
      <c r="E1375" s="1">
        <v>957343</v>
      </c>
      <c r="F1375" s="2">
        <v>33850</v>
      </c>
    </row>
    <row r="1376" spans="1:6" x14ac:dyDescent="0.35">
      <c r="A1376">
        <v>2018</v>
      </c>
      <c r="B1376" t="s">
        <v>59</v>
      </c>
      <c r="C1376" t="s">
        <v>31</v>
      </c>
      <c r="D1376" s="1">
        <v>25859</v>
      </c>
      <c r="E1376" s="1">
        <v>502877</v>
      </c>
      <c r="F1376" s="2">
        <v>19767</v>
      </c>
    </row>
    <row r="1377" spans="1:6" x14ac:dyDescent="0.35">
      <c r="A1377">
        <v>2018</v>
      </c>
      <c r="B1377" t="s">
        <v>59</v>
      </c>
      <c r="C1377" t="s">
        <v>32</v>
      </c>
      <c r="D1377" s="1">
        <v>2627</v>
      </c>
      <c r="E1377" s="1">
        <v>40375</v>
      </c>
      <c r="F1377" s="2">
        <v>17889</v>
      </c>
    </row>
    <row r="1378" spans="1:6" x14ac:dyDescent="0.35">
      <c r="A1378">
        <v>2018</v>
      </c>
      <c r="B1378" t="s">
        <v>59</v>
      </c>
      <c r="C1378" t="s">
        <v>33</v>
      </c>
      <c r="D1378" s="1">
        <v>28523</v>
      </c>
      <c r="E1378" s="1">
        <v>566681</v>
      </c>
      <c r="F1378" s="2">
        <v>19459</v>
      </c>
    </row>
    <row r="1379" spans="1:6" x14ac:dyDescent="0.35">
      <c r="A1379">
        <v>2018</v>
      </c>
      <c r="B1379" t="s">
        <v>59</v>
      </c>
      <c r="C1379" t="s">
        <v>34</v>
      </c>
      <c r="D1379" s="1">
        <v>9140</v>
      </c>
      <c r="E1379" s="1">
        <v>171567</v>
      </c>
      <c r="F1379" s="2">
        <v>18204</v>
      </c>
    </row>
    <row r="1380" spans="1:6" x14ac:dyDescent="0.35">
      <c r="A1380">
        <v>2018</v>
      </c>
      <c r="B1380" t="s">
        <v>59</v>
      </c>
      <c r="C1380" t="s">
        <v>35</v>
      </c>
      <c r="D1380" s="1">
        <v>13794</v>
      </c>
      <c r="E1380" s="1">
        <v>210781</v>
      </c>
      <c r="F1380" s="2">
        <v>22754</v>
      </c>
    </row>
    <row r="1381" spans="1:6" x14ac:dyDescent="0.35">
      <c r="A1381">
        <v>2018</v>
      </c>
      <c r="B1381" t="s">
        <v>59</v>
      </c>
      <c r="C1381" t="s">
        <v>36</v>
      </c>
      <c r="D1381" s="1">
        <v>33471</v>
      </c>
      <c r="E1381" s="1">
        <v>571799</v>
      </c>
      <c r="F1381" s="2">
        <v>21102</v>
      </c>
    </row>
    <row r="1382" spans="1:6" x14ac:dyDescent="0.35">
      <c r="A1382">
        <v>2018</v>
      </c>
      <c r="B1382" t="s">
        <v>59</v>
      </c>
      <c r="C1382" t="s">
        <v>37</v>
      </c>
      <c r="D1382" s="1">
        <v>3748</v>
      </c>
      <c r="E1382" s="1">
        <v>59154</v>
      </c>
      <c r="F1382" s="2">
        <v>22818</v>
      </c>
    </row>
    <row r="1383" spans="1:6" x14ac:dyDescent="0.35">
      <c r="A1383">
        <v>2018</v>
      </c>
      <c r="B1383" t="s">
        <v>59</v>
      </c>
      <c r="C1383" t="s">
        <v>38</v>
      </c>
      <c r="D1383" s="1">
        <v>12841</v>
      </c>
      <c r="E1383" s="1">
        <v>263743</v>
      </c>
      <c r="F1383" s="2">
        <v>17991</v>
      </c>
    </row>
    <row r="1384" spans="1:6" x14ac:dyDescent="0.35">
      <c r="A1384">
        <v>2018</v>
      </c>
      <c r="B1384" t="s">
        <v>59</v>
      </c>
      <c r="C1384" t="s">
        <v>39</v>
      </c>
      <c r="D1384" s="1">
        <v>3149</v>
      </c>
      <c r="E1384" s="1">
        <v>47321</v>
      </c>
      <c r="F1384" s="2">
        <v>16954</v>
      </c>
    </row>
    <row r="1385" spans="1:6" x14ac:dyDescent="0.35">
      <c r="A1385">
        <v>2018</v>
      </c>
      <c r="B1385" t="s">
        <v>59</v>
      </c>
      <c r="C1385" t="s">
        <v>40</v>
      </c>
      <c r="D1385" s="1">
        <v>16427</v>
      </c>
      <c r="E1385" s="1">
        <v>337857</v>
      </c>
      <c r="F1385" s="2">
        <v>23524</v>
      </c>
    </row>
    <row r="1386" spans="1:6" x14ac:dyDescent="0.35">
      <c r="A1386">
        <v>2018</v>
      </c>
      <c r="B1386" t="s">
        <v>59</v>
      </c>
      <c r="C1386" t="s">
        <v>41</v>
      </c>
      <c r="D1386" s="1">
        <v>62760</v>
      </c>
      <c r="E1386" s="1">
        <v>1354468</v>
      </c>
      <c r="F1386" s="2">
        <v>21861</v>
      </c>
    </row>
    <row r="1387" spans="1:6" x14ac:dyDescent="0.35">
      <c r="A1387">
        <v>2018</v>
      </c>
      <c r="B1387" t="s">
        <v>59</v>
      </c>
      <c r="C1387" t="s">
        <v>42</v>
      </c>
      <c r="D1387" s="1">
        <v>7374</v>
      </c>
      <c r="E1387" s="1">
        <v>148446</v>
      </c>
      <c r="F1387" s="2">
        <v>20121</v>
      </c>
    </row>
    <row r="1388" spans="1:6" x14ac:dyDescent="0.35">
      <c r="A1388">
        <v>2018</v>
      </c>
      <c r="B1388" t="s">
        <v>59</v>
      </c>
      <c r="C1388" t="s">
        <v>43</v>
      </c>
      <c r="D1388" s="1">
        <v>2279</v>
      </c>
      <c r="E1388" s="1">
        <v>37198</v>
      </c>
      <c r="F1388" s="2">
        <v>23107</v>
      </c>
    </row>
    <row r="1389" spans="1:6" x14ac:dyDescent="0.35">
      <c r="A1389">
        <v>2018</v>
      </c>
      <c r="B1389" t="s">
        <v>59</v>
      </c>
      <c r="C1389" t="s">
        <v>44</v>
      </c>
      <c r="D1389" s="1">
        <v>20479</v>
      </c>
      <c r="E1389" s="1">
        <v>406321</v>
      </c>
      <c r="F1389" s="2">
        <v>20678</v>
      </c>
    </row>
    <row r="1390" spans="1:6" x14ac:dyDescent="0.35">
      <c r="A1390">
        <v>2018</v>
      </c>
      <c r="B1390" t="s">
        <v>59</v>
      </c>
      <c r="C1390" t="s">
        <v>45</v>
      </c>
      <c r="D1390" s="1">
        <v>20431</v>
      </c>
      <c r="E1390" s="1">
        <v>335635</v>
      </c>
      <c r="F1390" s="2">
        <v>25357</v>
      </c>
    </row>
    <row r="1391" spans="1:6" x14ac:dyDescent="0.35">
      <c r="A1391">
        <v>2018</v>
      </c>
      <c r="B1391" t="s">
        <v>59</v>
      </c>
      <c r="C1391" t="s">
        <v>46</v>
      </c>
      <c r="D1391" s="1">
        <v>4722</v>
      </c>
      <c r="E1391" s="1">
        <v>74133</v>
      </c>
      <c r="F1391" s="2">
        <v>17916</v>
      </c>
    </row>
    <row r="1392" spans="1:6" x14ac:dyDescent="0.35">
      <c r="A1392">
        <v>2018</v>
      </c>
      <c r="B1392" t="s">
        <v>59</v>
      </c>
      <c r="C1392" t="s">
        <v>47</v>
      </c>
      <c r="D1392" s="1">
        <v>16931</v>
      </c>
      <c r="E1392" s="1">
        <v>282313</v>
      </c>
      <c r="F1392" s="2">
        <v>18305</v>
      </c>
    </row>
    <row r="1393" spans="1:6" x14ac:dyDescent="0.35">
      <c r="A1393">
        <v>2018</v>
      </c>
      <c r="B1393" t="s">
        <v>59</v>
      </c>
      <c r="C1393" t="s">
        <v>48</v>
      </c>
      <c r="D1393" s="1">
        <v>2383</v>
      </c>
      <c r="E1393" s="1">
        <v>36403</v>
      </c>
      <c r="F1393" s="2">
        <v>21270</v>
      </c>
    </row>
    <row r="1394" spans="1:6" x14ac:dyDescent="0.35">
      <c r="A1394">
        <v>2018</v>
      </c>
      <c r="B1394" t="s">
        <v>60</v>
      </c>
      <c r="C1394" t="s">
        <v>1</v>
      </c>
      <c r="D1394" s="1">
        <v>10102</v>
      </c>
      <c r="E1394" s="1">
        <v>46094</v>
      </c>
      <c r="F1394" s="2">
        <v>37839</v>
      </c>
    </row>
    <row r="1395" spans="1:6" x14ac:dyDescent="0.35">
      <c r="A1395">
        <v>2018</v>
      </c>
      <c r="B1395" t="s">
        <v>60</v>
      </c>
      <c r="C1395" t="s">
        <v>2</v>
      </c>
      <c r="D1395" s="1">
        <v>11119</v>
      </c>
      <c r="E1395" s="1">
        <v>75319</v>
      </c>
      <c r="F1395" s="2">
        <v>37697</v>
      </c>
    </row>
    <row r="1396" spans="1:6" x14ac:dyDescent="0.35">
      <c r="A1396">
        <v>2018</v>
      </c>
      <c r="B1396" t="s">
        <v>60</v>
      </c>
      <c r="C1396" t="s">
        <v>3</v>
      </c>
      <c r="D1396" s="1">
        <v>5345</v>
      </c>
      <c r="E1396" s="1">
        <v>24966</v>
      </c>
      <c r="F1396" s="2">
        <v>34843</v>
      </c>
    </row>
    <row r="1397" spans="1:6" x14ac:dyDescent="0.35">
      <c r="A1397">
        <v>2018</v>
      </c>
      <c r="B1397" t="s">
        <v>60</v>
      </c>
      <c r="C1397" t="s">
        <v>4</v>
      </c>
      <c r="D1397" s="1">
        <v>95398</v>
      </c>
      <c r="E1397" s="1">
        <v>541832</v>
      </c>
      <c r="F1397" s="2">
        <v>40668</v>
      </c>
    </row>
    <row r="1398" spans="1:6" x14ac:dyDescent="0.35">
      <c r="A1398">
        <v>2018</v>
      </c>
      <c r="B1398" t="s">
        <v>60</v>
      </c>
      <c r="C1398" t="s">
        <v>5</v>
      </c>
      <c r="D1398" s="1">
        <v>16405</v>
      </c>
      <c r="E1398" s="1">
        <v>82040</v>
      </c>
      <c r="F1398" s="2">
        <v>40987</v>
      </c>
    </row>
    <row r="1399" spans="1:6" x14ac:dyDescent="0.35">
      <c r="A1399">
        <v>2018</v>
      </c>
      <c r="B1399" t="s">
        <v>60</v>
      </c>
      <c r="C1399" t="s">
        <v>6</v>
      </c>
      <c r="D1399" s="1">
        <v>17517</v>
      </c>
      <c r="E1399" s="1">
        <v>66913</v>
      </c>
      <c r="F1399" s="2">
        <v>33615</v>
      </c>
    </row>
    <row r="1400" spans="1:6" x14ac:dyDescent="0.35">
      <c r="A1400">
        <v>2018</v>
      </c>
      <c r="B1400" t="s">
        <v>60</v>
      </c>
      <c r="C1400" t="s">
        <v>7</v>
      </c>
      <c r="D1400" s="1">
        <v>2054</v>
      </c>
      <c r="E1400" s="1">
        <v>11930</v>
      </c>
      <c r="F1400" s="2">
        <v>34259</v>
      </c>
    </row>
    <row r="1401" spans="1:6" x14ac:dyDescent="0.35">
      <c r="A1401">
        <v>2018</v>
      </c>
      <c r="B1401" t="s">
        <v>60</v>
      </c>
      <c r="C1401" t="s">
        <v>8</v>
      </c>
      <c r="D1401" s="1">
        <v>55687</v>
      </c>
      <c r="E1401" s="1">
        <v>279269</v>
      </c>
      <c r="F1401" s="2">
        <v>36402</v>
      </c>
    </row>
    <row r="1402" spans="1:6" x14ac:dyDescent="0.35">
      <c r="A1402">
        <v>2018</v>
      </c>
      <c r="B1402" t="s">
        <v>60</v>
      </c>
      <c r="C1402" t="s">
        <v>9</v>
      </c>
      <c r="D1402" s="1">
        <v>17999</v>
      </c>
      <c r="E1402" s="1">
        <v>108656</v>
      </c>
      <c r="F1402" s="2">
        <v>36377</v>
      </c>
    </row>
    <row r="1403" spans="1:6" x14ac:dyDescent="0.35">
      <c r="A1403">
        <v>2018</v>
      </c>
      <c r="B1403" t="s">
        <v>60</v>
      </c>
      <c r="C1403" t="s">
        <v>10</v>
      </c>
      <c r="D1403" s="1">
        <v>3985</v>
      </c>
      <c r="E1403" s="1">
        <v>18622</v>
      </c>
      <c r="F1403" s="2">
        <v>31284</v>
      </c>
    </row>
    <row r="1404" spans="1:6" x14ac:dyDescent="0.35">
      <c r="A1404">
        <v>2018</v>
      </c>
      <c r="B1404" t="s">
        <v>60</v>
      </c>
      <c r="C1404" t="s">
        <v>11</v>
      </c>
      <c r="D1404" s="1">
        <v>39449</v>
      </c>
      <c r="E1404" s="1">
        <v>208655</v>
      </c>
      <c r="F1404" s="2">
        <v>42392</v>
      </c>
    </row>
    <row r="1405" spans="1:6" x14ac:dyDescent="0.35">
      <c r="A1405">
        <v>2018</v>
      </c>
      <c r="B1405" t="s">
        <v>60</v>
      </c>
      <c r="C1405" t="s">
        <v>12</v>
      </c>
      <c r="D1405" s="1">
        <v>13122</v>
      </c>
      <c r="E1405" s="1">
        <v>87997</v>
      </c>
      <c r="F1405" s="2">
        <v>32900</v>
      </c>
    </row>
    <row r="1406" spans="1:6" x14ac:dyDescent="0.35">
      <c r="A1406">
        <v>2018</v>
      </c>
      <c r="B1406" t="s">
        <v>60</v>
      </c>
      <c r="C1406" t="s">
        <v>13</v>
      </c>
      <c r="D1406" s="1">
        <v>8669</v>
      </c>
      <c r="E1406" s="1">
        <v>42339</v>
      </c>
      <c r="F1406" s="2">
        <v>34313</v>
      </c>
    </row>
    <row r="1407" spans="1:6" x14ac:dyDescent="0.35">
      <c r="A1407">
        <v>2018</v>
      </c>
      <c r="B1407" t="s">
        <v>60</v>
      </c>
      <c r="C1407" t="s">
        <v>14</v>
      </c>
      <c r="D1407" s="1">
        <v>5983</v>
      </c>
      <c r="E1407" s="1">
        <v>33757</v>
      </c>
      <c r="F1407" s="2">
        <v>34478</v>
      </c>
    </row>
    <row r="1408" spans="1:6" x14ac:dyDescent="0.35">
      <c r="A1408">
        <v>2018</v>
      </c>
      <c r="B1408" t="s">
        <v>60</v>
      </c>
      <c r="C1408" t="s">
        <v>15</v>
      </c>
      <c r="D1408" s="1">
        <v>10697</v>
      </c>
      <c r="E1408" s="1">
        <v>46476</v>
      </c>
      <c r="F1408" s="2">
        <v>33616</v>
      </c>
    </row>
    <row r="1409" spans="1:6" x14ac:dyDescent="0.35">
      <c r="A1409">
        <v>2018</v>
      </c>
      <c r="B1409" t="s">
        <v>60</v>
      </c>
      <c r="C1409" t="s">
        <v>16</v>
      </c>
      <c r="D1409" s="1">
        <v>9230</v>
      </c>
      <c r="E1409" s="1">
        <v>45904</v>
      </c>
      <c r="F1409" s="2">
        <v>37854</v>
      </c>
    </row>
    <row r="1410" spans="1:6" x14ac:dyDescent="0.35">
      <c r="A1410">
        <v>2018</v>
      </c>
      <c r="B1410" t="s">
        <v>60</v>
      </c>
      <c r="C1410" t="s">
        <v>17</v>
      </c>
      <c r="D1410" s="1">
        <v>3832</v>
      </c>
      <c r="E1410" s="1">
        <v>18021</v>
      </c>
      <c r="F1410" s="2">
        <v>33967</v>
      </c>
    </row>
    <row r="1411" spans="1:6" x14ac:dyDescent="0.35">
      <c r="A1411">
        <v>2018</v>
      </c>
      <c r="B1411" t="s">
        <v>60</v>
      </c>
      <c r="C1411" t="s">
        <v>18</v>
      </c>
      <c r="D1411" s="1">
        <v>19354</v>
      </c>
      <c r="E1411" s="1">
        <v>91803</v>
      </c>
      <c r="F1411" s="2">
        <v>43222</v>
      </c>
    </row>
    <row r="1412" spans="1:6" x14ac:dyDescent="0.35">
      <c r="A1412">
        <v>2018</v>
      </c>
      <c r="B1412" t="s">
        <v>60</v>
      </c>
      <c r="C1412" t="s">
        <v>19</v>
      </c>
      <c r="D1412" s="1">
        <v>21621</v>
      </c>
      <c r="E1412" s="1">
        <v>119963</v>
      </c>
      <c r="F1412" s="2">
        <v>38569</v>
      </c>
    </row>
    <row r="1413" spans="1:6" x14ac:dyDescent="0.35">
      <c r="A1413">
        <v>2018</v>
      </c>
      <c r="B1413" t="s">
        <v>60</v>
      </c>
      <c r="C1413" t="s">
        <v>20</v>
      </c>
      <c r="D1413" s="1">
        <v>31024</v>
      </c>
      <c r="E1413" s="1">
        <v>139968</v>
      </c>
      <c r="F1413" s="2">
        <v>33275</v>
      </c>
    </row>
    <row r="1414" spans="1:6" x14ac:dyDescent="0.35">
      <c r="A1414">
        <v>2018</v>
      </c>
      <c r="B1414" t="s">
        <v>60</v>
      </c>
      <c r="C1414" t="s">
        <v>21</v>
      </c>
      <c r="D1414" s="1">
        <v>17099</v>
      </c>
      <c r="E1414" s="1">
        <v>90096</v>
      </c>
      <c r="F1414" s="2">
        <v>34221</v>
      </c>
    </row>
    <row r="1415" spans="1:6" x14ac:dyDescent="0.35">
      <c r="A1415">
        <v>2018</v>
      </c>
      <c r="B1415" t="s">
        <v>60</v>
      </c>
      <c r="C1415" t="s">
        <v>22</v>
      </c>
      <c r="D1415" s="1">
        <v>4645</v>
      </c>
      <c r="E1415" s="1">
        <v>21202</v>
      </c>
      <c r="F1415" s="2">
        <v>34491</v>
      </c>
    </row>
    <row r="1416" spans="1:6" x14ac:dyDescent="0.35">
      <c r="A1416">
        <v>2018</v>
      </c>
      <c r="B1416" t="s">
        <v>60</v>
      </c>
      <c r="C1416" t="s">
        <v>23</v>
      </c>
      <c r="D1416" s="1">
        <v>12996</v>
      </c>
      <c r="E1416" s="1">
        <v>75350</v>
      </c>
      <c r="F1416" s="2">
        <v>34075</v>
      </c>
    </row>
    <row r="1417" spans="1:6" x14ac:dyDescent="0.35">
      <c r="A1417">
        <v>2018</v>
      </c>
      <c r="B1417" t="s">
        <v>60</v>
      </c>
      <c r="C1417" t="s">
        <v>24</v>
      </c>
      <c r="D1417" s="1">
        <v>4285</v>
      </c>
      <c r="E1417" s="1">
        <v>18301</v>
      </c>
      <c r="F1417" s="2">
        <v>30293</v>
      </c>
    </row>
    <row r="1418" spans="1:6" x14ac:dyDescent="0.35">
      <c r="A1418">
        <v>2018</v>
      </c>
      <c r="B1418" t="s">
        <v>60</v>
      </c>
      <c r="C1418" t="s">
        <v>25</v>
      </c>
      <c r="D1418" s="1">
        <v>4614</v>
      </c>
      <c r="E1418" s="1">
        <v>25333</v>
      </c>
      <c r="F1418" s="2">
        <v>32212</v>
      </c>
    </row>
    <row r="1419" spans="1:6" x14ac:dyDescent="0.35">
      <c r="A1419">
        <v>2018</v>
      </c>
      <c r="B1419" t="s">
        <v>60</v>
      </c>
      <c r="C1419" t="s">
        <v>26</v>
      </c>
      <c r="D1419" s="1">
        <v>5080</v>
      </c>
      <c r="E1419" s="1">
        <v>34964</v>
      </c>
      <c r="F1419" s="2">
        <v>37484</v>
      </c>
    </row>
    <row r="1420" spans="1:6" x14ac:dyDescent="0.35">
      <c r="A1420">
        <v>2018</v>
      </c>
      <c r="B1420" t="s">
        <v>60</v>
      </c>
      <c r="C1420" t="s">
        <v>27</v>
      </c>
      <c r="D1420" s="1">
        <v>3934</v>
      </c>
      <c r="E1420" s="1">
        <v>20991</v>
      </c>
      <c r="F1420" s="2">
        <v>37927</v>
      </c>
    </row>
    <row r="1421" spans="1:6" x14ac:dyDescent="0.35">
      <c r="A1421">
        <v>2018</v>
      </c>
      <c r="B1421" t="s">
        <v>60</v>
      </c>
      <c r="C1421" t="s">
        <v>28</v>
      </c>
      <c r="D1421" s="1">
        <v>24105</v>
      </c>
      <c r="E1421" s="1">
        <v>135824</v>
      </c>
      <c r="F1421" s="2">
        <v>36518</v>
      </c>
    </row>
    <row r="1422" spans="1:6" x14ac:dyDescent="0.35">
      <c r="A1422">
        <v>2018</v>
      </c>
      <c r="B1422" t="s">
        <v>60</v>
      </c>
      <c r="C1422" t="s">
        <v>29</v>
      </c>
      <c r="D1422" s="1">
        <v>4073</v>
      </c>
      <c r="E1422" s="1">
        <v>20964</v>
      </c>
      <c r="F1422" s="2">
        <v>34365</v>
      </c>
    </row>
    <row r="1423" spans="1:6" x14ac:dyDescent="0.35">
      <c r="A1423">
        <v>2018</v>
      </c>
      <c r="B1423" t="s">
        <v>60</v>
      </c>
      <c r="C1423" t="s">
        <v>30</v>
      </c>
      <c r="D1423" s="1">
        <v>73275</v>
      </c>
      <c r="E1423" s="1">
        <v>370268</v>
      </c>
      <c r="F1423" s="2">
        <v>41910</v>
      </c>
    </row>
    <row r="1424" spans="1:6" x14ac:dyDescent="0.35">
      <c r="A1424">
        <v>2018</v>
      </c>
      <c r="B1424" t="s">
        <v>60</v>
      </c>
      <c r="C1424" t="s">
        <v>31</v>
      </c>
      <c r="D1424" s="1">
        <v>23444</v>
      </c>
      <c r="E1424" s="1">
        <v>109986</v>
      </c>
      <c r="F1424" s="2">
        <v>35102</v>
      </c>
    </row>
    <row r="1425" spans="1:6" x14ac:dyDescent="0.35">
      <c r="A1425">
        <v>2018</v>
      </c>
      <c r="B1425" t="s">
        <v>60</v>
      </c>
      <c r="C1425" t="s">
        <v>32</v>
      </c>
      <c r="D1425" s="1">
        <v>2051</v>
      </c>
      <c r="E1425" s="1">
        <v>11307</v>
      </c>
      <c r="F1425" s="2">
        <v>37216</v>
      </c>
    </row>
    <row r="1426" spans="1:6" x14ac:dyDescent="0.35">
      <c r="A1426">
        <v>2018</v>
      </c>
      <c r="B1426" t="s">
        <v>60</v>
      </c>
      <c r="C1426" t="s">
        <v>33</v>
      </c>
      <c r="D1426" s="1">
        <v>23542</v>
      </c>
      <c r="E1426" s="1">
        <v>156685</v>
      </c>
      <c r="F1426" s="2">
        <v>34001</v>
      </c>
    </row>
    <row r="1427" spans="1:6" x14ac:dyDescent="0.35">
      <c r="A1427">
        <v>2018</v>
      </c>
      <c r="B1427" t="s">
        <v>60</v>
      </c>
      <c r="C1427" t="s">
        <v>34</v>
      </c>
      <c r="D1427" s="1">
        <v>6640</v>
      </c>
      <c r="E1427" s="1">
        <v>36417</v>
      </c>
      <c r="F1427" s="2">
        <v>35221</v>
      </c>
    </row>
    <row r="1428" spans="1:6" x14ac:dyDescent="0.35">
      <c r="A1428">
        <v>2018</v>
      </c>
      <c r="B1428" t="s">
        <v>60</v>
      </c>
      <c r="C1428" t="s">
        <v>35</v>
      </c>
      <c r="D1428" s="1">
        <v>24302</v>
      </c>
      <c r="E1428" s="1">
        <v>77296</v>
      </c>
      <c r="F1428" s="2">
        <v>34031</v>
      </c>
    </row>
    <row r="1429" spans="1:6" x14ac:dyDescent="0.35">
      <c r="A1429">
        <v>2018</v>
      </c>
      <c r="B1429" t="s">
        <v>60</v>
      </c>
      <c r="C1429" t="s">
        <v>36</v>
      </c>
      <c r="D1429" s="1">
        <v>32530</v>
      </c>
      <c r="E1429" s="1">
        <v>199883</v>
      </c>
      <c r="F1429" s="2">
        <v>33988</v>
      </c>
    </row>
    <row r="1430" spans="1:6" x14ac:dyDescent="0.35">
      <c r="A1430">
        <v>2018</v>
      </c>
      <c r="B1430" t="s">
        <v>60</v>
      </c>
      <c r="C1430" t="s">
        <v>37</v>
      </c>
      <c r="D1430" s="1">
        <v>3459</v>
      </c>
      <c r="E1430" s="1">
        <v>17990</v>
      </c>
      <c r="F1430" s="2">
        <v>33322</v>
      </c>
    </row>
    <row r="1431" spans="1:6" x14ac:dyDescent="0.35">
      <c r="A1431">
        <v>2018</v>
      </c>
      <c r="B1431" t="s">
        <v>60</v>
      </c>
      <c r="C1431" t="s">
        <v>38</v>
      </c>
      <c r="D1431" s="1">
        <v>11329</v>
      </c>
      <c r="E1431" s="1">
        <v>53632</v>
      </c>
      <c r="F1431" s="2">
        <v>32985</v>
      </c>
    </row>
    <row r="1432" spans="1:6" x14ac:dyDescent="0.35">
      <c r="A1432">
        <v>2018</v>
      </c>
      <c r="B1432" t="s">
        <v>60</v>
      </c>
      <c r="C1432" t="s">
        <v>39</v>
      </c>
      <c r="D1432" s="1">
        <v>2201</v>
      </c>
      <c r="E1432" s="1">
        <v>11149</v>
      </c>
      <c r="F1432" s="2">
        <v>32874</v>
      </c>
    </row>
    <row r="1433" spans="1:6" x14ac:dyDescent="0.35">
      <c r="A1433">
        <v>2018</v>
      </c>
      <c r="B1433" t="s">
        <v>60</v>
      </c>
      <c r="C1433" t="s">
        <v>40</v>
      </c>
      <c r="D1433" s="1">
        <v>15494</v>
      </c>
      <c r="E1433" s="1">
        <v>78706</v>
      </c>
      <c r="F1433" s="2">
        <v>35137</v>
      </c>
    </row>
    <row r="1434" spans="1:6" x14ac:dyDescent="0.35">
      <c r="A1434">
        <v>2018</v>
      </c>
      <c r="B1434" t="s">
        <v>60</v>
      </c>
      <c r="C1434" t="s">
        <v>41</v>
      </c>
      <c r="D1434" s="1">
        <v>56598</v>
      </c>
      <c r="E1434" s="1">
        <v>334126</v>
      </c>
      <c r="F1434" s="2">
        <v>39429</v>
      </c>
    </row>
    <row r="1435" spans="1:6" x14ac:dyDescent="0.35">
      <c r="A1435">
        <v>2018</v>
      </c>
      <c r="B1435" t="s">
        <v>60</v>
      </c>
      <c r="C1435" t="s">
        <v>42</v>
      </c>
      <c r="D1435" s="1">
        <v>6320</v>
      </c>
      <c r="E1435" s="1">
        <v>36120</v>
      </c>
      <c r="F1435" s="2">
        <v>35627</v>
      </c>
    </row>
    <row r="1436" spans="1:6" x14ac:dyDescent="0.35">
      <c r="A1436">
        <v>2018</v>
      </c>
      <c r="B1436" t="s">
        <v>60</v>
      </c>
      <c r="C1436" t="s">
        <v>43</v>
      </c>
      <c r="D1436" s="1">
        <v>1954</v>
      </c>
      <c r="E1436" s="1">
        <v>8748</v>
      </c>
      <c r="F1436" s="2">
        <v>36288</v>
      </c>
    </row>
    <row r="1437" spans="1:6" x14ac:dyDescent="0.35">
      <c r="A1437">
        <v>2018</v>
      </c>
      <c r="B1437" t="s">
        <v>60</v>
      </c>
      <c r="C1437" t="s">
        <v>44</v>
      </c>
      <c r="D1437" s="1">
        <v>36204</v>
      </c>
      <c r="E1437" s="1">
        <v>145640</v>
      </c>
      <c r="F1437" s="2">
        <v>42804</v>
      </c>
    </row>
    <row r="1438" spans="1:6" x14ac:dyDescent="0.35">
      <c r="A1438">
        <v>2018</v>
      </c>
      <c r="B1438" t="s">
        <v>60</v>
      </c>
      <c r="C1438" t="s">
        <v>45</v>
      </c>
      <c r="D1438" s="1">
        <v>19893</v>
      </c>
      <c r="E1438" s="1">
        <v>99054</v>
      </c>
      <c r="F1438" s="2">
        <v>40310</v>
      </c>
    </row>
    <row r="1439" spans="1:6" x14ac:dyDescent="0.35">
      <c r="A1439">
        <v>2018</v>
      </c>
      <c r="B1439" t="s">
        <v>60</v>
      </c>
      <c r="C1439" t="s">
        <v>46</v>
      </c>
      <c r="D1439" s="1">
        <v>5536</v>
      </c>
      <c r="E1439" s="1">
        <v>19873</v>
      </c>
      <c r="F1439" s="2">
        <v>31425</v>
      </c>
    </row>
    <row r="1440" spans="1:6" x14ac:dyDescent="0.35">
      <c r="A1440">
        <v>2018</v>
      </c>
      <c r="B1440" t="s">
        <v>60</v>
      </c>
      <c r="C1440" t="s">
        <v>47</v>
      </c>
      <c r="D1440" s="1">
        <v>14009</v>
      </c>
      <c r="E1440" s="1">
        <v>84183</v>
      </c>
      <c r="F1440" s="2">
        <v>30593</v>
      </c>
    </row>
    <row r="1441" spans="1:6" x14ac:dyDescent="0.35">
      <c r="A1441">
        <v>2018</v>
      </c>
      <c r="B1441" t="s">
        <v>60</v>
      </c>
      <c r="C1441" t="s">
        <v>48</v>
      </c>
      <c r="D1441" s="1">
        <v>1664</v>
      </c>
      <c r="E1441" s="1">
        <v>7261</v>
      </c>
      <c r="F1441" s="2">
        <v>37155</v>
      </c>
    </row>
    <row r="1442" spans="1:6" x14ac:dyDescent="0.35">
      <c r="A1442">
        <v>2017</v>
      </c>
      <c r="B1442" t="s">
        <v>55</v>
      </c>
      <c r="C1442" t="s">
        <v>1</v>
      </c>
      <c r="D1442" s="1">
        <v>1815</v>
      </c>
      <c r="E1442" s="1">
        <v>17999</v>
      </c>
      <c r="F1442" s="2">
        <v>52748</v>
      </c>
    </row>
    <row r="1443" spans="1:6" x14ac:dyDescent="0.35">
      <c r="A1443">
        <v>2017</v>
      </c>
      <c r="B1443" t="s">
        <v>55</v>
      </c>
      <c r="C1443" t="s">
        <v>2</v>
      </c>
      <c r="D1443" s="1">
        <v>1257</v>
      </c>
      <c r="E1443" s="1">
        <v>37216</v>
      </c>
      <c r="F1443" s="2">
        <v>47116</v>
      </c>
    </row>
    <row r="1444" spans="1:6" x14ac:dyDescent="0.35">
      <c r="A1444">
        <v>2017</v>
      </c>
      <c r="B1444" t="s">
        <v>55</v>
      </c>
      <c r="C1444" t="s">
        <v>3</v>
      </c>
      <c r="D1444" s="1">
        <v>2551</v>
      </c>
      <c r="E1444" s="1">
        <v>16476</v>
      </c>
      <c r="F1444" s="2">
        <v>46191</v>
      </c>
    </row>
    <row r="1445" spans="1:6" x14ac:dyDescent="0.35">
      <c r="A1445">
        <v>2017</v>
      </c>
      <c r="B1445" t="s">
        <v>55</v>
      </c>
      <c r="C1445" t="s">
        <v>4</v>
      </c>
      <c r="D1445" s="1">
        <v>17021</v>
      </c>
      <c r="E1445" s="1">
        <v>441460</v>
      </c>
      <c r="F1445" s="2">
        <v>37249</v>
      </c>
    </row>
    <row r="1446" spans="1:6" x14ac:dyDescent="0.35">
      <c r="A1446">
        <v>2017</v>
      </c>
      <c r="B1446" t="s">
        <v>55</v>
      </c>
      <c r="C1446" t="s">
        <v>5</v>
      </c>
      <c r="D1446" s="1">
        <v>3202</v>
      </c>
      <c r="E1446" s="1">
        <v>43394</v>
      </c>
      <c r="F1446" s="2">
        <v>84161</v>
      </c>
    </row>
    <row r="1447" spans="1:6" x14ac:dyDescent="0.35">
      <c r="A1447">
        <v>2017</v>
      </c>
      <c r="B1447" t="s">
        <v>55</v>
      </c>
      <c r="C1447" t="s">
        <v>6</v>
      </c>
      <c r="D1447">
        <v>433</v>
      </c>
      <c r="E1447" s="1">
        <v>5305</v>
      </c>
      <c r="F1447" s="2">
        <v>40017</v>
      </c>
    </row>
    <row r="1448" spans="1:6" x14ac:dyDescent="0.35">
      <c r="A1448">
        <v>2017</v>
      </c>
      <c r="B1448" t="s">
        <v>55</v>
      </c>
      <c r="C1448" t="s">
        <v>7</v>
      </c>
      <c r="D1448">
        <v>177</v>
      </c>
      <c r="E1448" s="1">
        <v>1538</v>
      </c>
      <c r="F1448" s="2">
        <v>39651</v>
      </c>
    </row>
    <row r="1449" spans="1:6" x14ac:dyDescent="0.35">
      <c r="A1449">
        <v>2017</v>
      </c>
      <c r="B1449" t="s">
        <v>55</v>
      </c>
      <c r="C1449" t="s">
        <v>8</v>
      </c>
      <c r="D1449" s="1">
        <v>5285</v>
      </c>
      <c r="E1449" s="1">
        <v>75471</v>
      </c>
      <c r="F1449" s="2">
        <v>32773</v>
      </c>
    </row>
    <row r="1450" spans="1:6" x14ac:dyDescent="0.35">
      <c r="A1450">
        <v>2017</v>
      </c>
      <c r="B1450" t="s">
        <v>55</v>
      </c>
      <c r="C1450" t="s">
        <v>9</v>
      </c>
      <c r="D1450" s="1">
        <v>2594</v>
      </c>
      <c r="E1450" s="1">
        <v>29299</v>
      </c>
      <c r="F1450" s="2">
        <v>41048</v>
      </c>
    </row>
    <row r="1451" spans="1:6" x14ac:dyDescent="0.35">
      <c r="A1451">
        <v>2017</v>
      </c>
      <c r="B1451" t="s">
        <v>55</v>
      </c>
      <c r="C1451" t="s">
        <v>10</v>
      </c>
      <c r="D1451" s="1">
        <v>2448</v>
      </c>
      <c r="E1451" s="1">
        <v>26790</v>
      </c>
      <c r="F1451" s="2">
        <v>38417</v>
      </c>
    </row>
    <row r="1452" spans="1:6" x14ac:dyDescent="0.35">
      <c r="A1452">
        <v>2017</v>
      </c>
      <c r="B1452" t="s">
        <v>55</v>
      </c>
      <c r="C1452" t="s">
        <v>11</v>
      </c>
      <c r="D1452" s="1">
        <v>2730</v>
      </c>
      <c r="E1452" s="1">
        <v>26665</v>
      </c>
      <c r="F1452" s="2">
        <v>48549</v>
      </c>
    </row>
    <row r="1453" spans="1:6" x14ac:dyDescent="0.35">
      <c r="A1453">
        <v>2017</v>
      </c>
      <c r="B1453" t="s">
        <v>55</v>
      </c>
      <c r="C1453" t="s">
        <v>12</v>
      </c>
      <c r="D1453" s="1">
        <v>2183</v>
      </c>
      <c r="E1453" s="1">
        <v>21072</v>
      </c>
      <c r="F1453" s="2">
        <v>47269</v>
      </c>
    </row>
    <row r="1454" spans="1:6" x14ac:dyDescent="0.35">
      <c r="A1454">
        <v>2017</v>
      </c>
      <c r="B1454" t="s">
        <v>55</v>
      </c>
      <c r="C1454" t="s">
        <v>13</v>
      </c>
      <c r="D1454" s="1">
        <v>2766</v>
      </c>
      <c r="E1454" s="1">
        <v>22503</v>
      </c>
      <c r="F1454" s="2">
        <v>41388</v>
      </c>
    </row>
    <row r="1455" spans="1:6" x14ac:dyDescent="0.35">
      <c r="A1455">
        <v>2017</v>
      </c>
      <c r="B1455" t="s">
        <v>55</v>
      </c>
      <c r="C1455" t="s">
        <v>14</v>
      </c>
      <c r="D1455" s="1">
        <v>2686</v>
      </c>
      <c r="E1455" s="1">
        <v>19024</v>
      </c>
      <c r="F1455" s="2">
        <v>45105</v>
      </c>
    </row>
    <row r="1456" spans="1:6" x14ac:dyDescent="0.35">
      <c r="A1456">
        <v>2017</v>
      </c>
      <c r="B1456" t="s">
        <v>55</v>
      </c>
      <c r="C1456" t="s">
        <v>15</v>
      </c>
      <c r="D1456" s="1">
        <v>1584</v>
      </c>
      <c r="E1456" s="1">
        <v>18306</v>
      </c>
      <c r="F1456" s="2">
        <v>54943</v>
      </c>
    </row>
    <row r="1457" spans="1:6" x14ac:dyDescent="0.35">
      <c r="A1457">
        <v>2017</v>
      </c>
      <c r="B1457" t="s">
        <v>55</v>
      </c>
      <c r="C1457" t="s">
        <v>16</v>
      </c>
      <c r="D1457" s="1">
        <v>3082</v>
      </c>
      <c r="E1457" s="1">
        <v>42251</v>
      </c>
      <c r="F1457" s="2">
        <v>80128</v>
      </c>
    </row>
    <row r="1458" spans="1:6" x14ac:dyDescent="0.35">
      <c r="A1458">
        <v>2017</v>
      </c>
      <c r="B1458" t="s">
        <v>55</v>
      </c>
      <c r="C1458" t="s">
        <v>17</v>
      </c>
      <c r="D1458" s="1">
        <v>1370</v>
      </c>
      <c r="E1458" s="1">
        <v>6817</v>
      </c>
      <c r="F1458" s="2">
        <v>40118</v>
      </c>
    </row>
    <row r="1459" spans="1:6" x14ac:dyDescent="0.35">
      <c r="A1459">
        <v>2017</v>
      </c>
      <c r="B1459" t="s">
        <v>55</v>
      </c>
      <c r="C1459" t="s">
        <v>18</v>
      </c>
      <c r="D1459">
        <v>723</v>
      </c>
      <c r="E1459" s="1">
        <v>6432</v>
      </c>
      <c r="F1459" s="2">
        <v>42478</v>
      </c>
    </row>
    <row r="1460" spans="1:6" x14ac:dyDescent="0.35">
      <c r="A1460">
        <v>2017</v>
      </c>
      <c r="B1460" t="s">
        <v>55</v>
      </c>
      <c r="C1460" t="s">
        <v>19</v>
      </c>
      <c r="D1460" s="1">
        <v>1030</v>
      </c>
      <c r="E1460" s="1">
        <v>9290</v>
      </c>
      <c r="F1460" s="2">
        <v>61286</v>
      </c>
    </row>
    <row r="1461" spans="1:6" x14ac:dyDescent="0.35">
      <c r="A1461">
        <v>2017</v>
      </c>
      <c r="B1461" t="s">
        <v>55</v>
      </c>
      <c r="C1461" t="s">
        <v>20</v>
      </c>
      <c r="D1461" s="1">
        <v>3203</v>
      </c>
      <c r="E1461" s="1">
        <v>36801</v>
      </c>
      <c r="F1461" s="2">
        <v>38160</v>
      </c>
    </row>
    <row r="1462" spans="1:6" x14ac:dyDescent="0.35">
      <c r="A1462">
        <v>2017</v>
      </c>
      <c r="B1462" t="s">
        <v>55</v>
      </c>
      <c r="C1462" t="s">
        <v>21</v>
      </c>
      <c r="D1462" s="1">
        <v>2992</v>
      </c>
      <c r="E1462" s="1">
        <v>27804</v>
      </c>
      <c r="F1462" s="2">
        <v>47599</v>
      </c>
    </row>
    <row r="1463" spans="1:6" x14ac:dyDescent="0.35">
      <c r="A1463">
        <v>2017</v>
      </c>
      <c r="B1463" t="s">
        <v>55</v>
      </c>
      <c r="C1463" t="s">
        <v>22</v>
      </c>
      <c r="D1463" s="1">
        <v>2168</v>
      </c>
      <c r="E1463" s="1">
        <v>16360</v>
      </c>
      <c r="F1463" s="2">
        <v>45681</v>
      </c>
    </row>
    <row r="1464" spans="1:6" x14ac:dyDescent="0.35">
      <c r="A1464">
        <v>2017</v>
      </c>
      <c r="B1464" t="s">
        <v>55</v>
      </c>
      <c r="C1464" t="s">
        <v>23</v>
      </c>
      <c r="D1464" s="1">
        <v>1950</v>
      </c>
      <c r="E1464" s="1">
        <v>16365</v>
      </c>
      <c r="F1464" s="2">
        <v>42894</v>
      </c>
    </row>
    <row r="1465" spans="1:6" x14ac:dyDescent="0.35">
      <c r="A1465">
        <v>2017</v>
      </c>
      <c r="B1465" t="s">
        <v>55</v>
      </c>
      <c r="C1465" t="s">
        <v>24</v>
      </c>
      <c r="D1465" s="1">
        <v>1753</v>
      </c>
      <c r="E1465" s="1">
        <v>11976</v>
      </c>
      <c r="F1465" s="2">
        <v>64781</v>
      </c>
    </row>
    <row r="1466" spans="1:6" x14ac:dyDescent="0.35">
      <c r="A1466">
        <v>2017</v>
      </c>
      <c r="B1466" t="s">
        <v>55</v>
      </c>
      <c r="C1466" t="s">
        <v>25</v>
      </c>
      <c r="D1466" s="1">
        <v>2337</v>
      </c>
      <c r="E1466" s="1">
        <v>15500</v>
      </c>
      <c r="F1466" s="2">
        <v>39544</v>
      </c>
    </row>
    <row r="1467" spans="1:6" x14ac:dyDescent="0.35">
      <c r="A1467">
        <v>2017</v>
      </c>
      <c r="B1467" t="s">
        <v>55</v>
      </c>
      <c r="C1467" t="s">
        <v>26</v>
      </c>
      <c r="D1467">
        <v>612</v>
      </c>
      <c r="E1467" s="1">
        <v>17902</v>
      </c>
      <c r="F1467" s="2">
        <v>82999</v>
      </c>
    </row>
    <row r="1468" spans="1:6" x14ac:dyDescent="0.35">
      <c r="A1468">
        <v>2017</v>
      </c>
      <c r="B1468" t="s">
        <v>55</v>
      </c>
      <c r="C1468" t="s">
        <v>27</v>
      </c>
      <c r="D1468">
        <v>350</v>
      </c>
      <c r="E1468" s="1">
        <v>2556</v>
      </c>
      <c r="F1468" s="2">
        <v>41972</v>
      </c>
    </row>
    <row r="1469" spans="1:6" x14ac:dyDescent="0.35">
      <c r="A1469">
        <v>2017</v>
      </c>
      <c r="B1469" t="s">
        <v>55</v>
      </c>
      <c r="C1469" t="s">
        <v>28</v>
      </c>
      <c r="D1469" s="1">
        <v>1018</v>
      </c>
      <c r="E1469" s="1">
        <v>12853</v>
      </c>
      <c r="F1469" s="2">
        <v>37279</v>
      </c>
    </row>
    <row r="1470" spans="1:6" x14ac:dyDescent="0.35">
      <c r="A1470">
        <v>2017</v>
      </c>
      <c r="B1470" t="s">
        <v>55</v>
      </c>
      <c r="C1470" t="s">
        <v>29</v>
      </c>
      <c r="D1470" s="1">
        <v>1991</v>
      </c>
      <c r="E1470" s="1">
        <v>32275</v>
      </c>
      <c r="F1470" s="2">
        <v>59989</v>
      </c>
    </row>
    <row r="1471" spans="1:6" x14ac:dyDescent="0.35">
      <c r="A1471">
        <v>2017</v>
      </c>
      <c r="B1471" t="s">
        <v>55</v>
      </c>
      <c r="C1471" t="s">
        <v>30</v>
      </c>
      <c r="D1471" s="1">
        <v>3023</v>
      </c>
      <c r="E1471" s="1">
        <v>30834</v>
      </c>
      <c r="F1471" s="2">
        <v>39487</v>
      </c>
    </row>
    <row r="1472" spans="1:6" x14ac:dyDescent="0.35">
      <c r="A1472">
        <v>2017</v>
      </c>
      <c r="B1472" t="s">
        <v>55</v>
      </c>
      <c r="C1472" t="s">
        <v>31</v>
      </c>
      <c r="D1472" s="1">
        <v>3306</v>
      </c>
      <c r="E1472" s="1">
        <v>30981</v>
      </c>
      <c r="F1472" s="2">
        <v>37636</v>
      </c>
    </row>
    <row r="1473" spans="1:6" x14ac:dyDescent="0.35">
      <c r="A1473">
        <v>2017</v>
      </c>
      <c r="B1473" t="s">
        <v>55</v>
      </c>
      <c r="C1473" t="s">
        <v>32</v>
      </c>
      <c r="D1473" s="1">
        <v>1771</v>
      </c>
      <c r="E1473" s="1">
        <v>22394</v>
      </c>
      <c r="F1473" s="2">
        <v>89578</v>
      </c>
    </row>
    <row r="1474" spans="1:6" x14ac:dyDescent="0.35">
      <c r="A1474">
        <v>2017</v>
      </c>
      <c r="B1474" t="s">
        <v>55</v>
      </c>
      <c r="C1474" t="s">
        <v>33</v>
      </c>
      <c r="D1474" s="1">
        <v>2483</v>
      </c>
      <c r="E1474" s="1">
        <v>27504</v>
      </c>
      <c r="F1474" s="2">
        <v>48849</v>
      </c>
    </row>
    <row r="1475" spans="1:6" x14ac:dyDescent="0.35">
      <c r="A1475">
        <v>2017</v>
      </c>
      <c r="B1475" t="s">
        <v>55</v>
      </c>
      <c r="C1475" t="s">
        <v>34</v>
      </c>
      <c r="D1475" s="1">
        <v>4333</v>
      </c>
      <c r="E1475" s="1">
        <v>58716</v>
      </c>
      <c r="F1475" s="2">
        <v>88899</v>
      </c>
    </row>
    <row r="1476" spans="1:6" x14ac:dyDescent="0.35">
      <c r="A1476">
        <v>2017</v>
      </c>
      <c r="B1476" t="s">
        <v>55</v>
      </c>
      <c r="C1476" t="s">
        <v>35</v>
      </c>
      <c r="D1476" s="1">
        <v>4453</v>
      </c>
      <c r="E1476" s="1">
        <v>52439</v>
      </c>
      <c r="F1476" s="2">
        <v>35362</v>
      </c>
    </row>
    <row r="1477" spans="1:6" x14ac:dyDescent="0.35">
      <c r="A1477">
        <v>2017</v>
      </c>
      <c r="B1477" t="s">
        <v>55</v>
      </c>
      <c r="C1477" t="s">
        <v>36</v>
      </c>
      <c r="D1477" s="1">
        <v>3498</v>
      </c>
      <c r="E1477" s="1">
        <v>50197</v>
      </c>
      <c r="F1477" s="2">
        <v>63021</v>
      </c>
    </row>
    <row r="1478" spans="1:6" x14ac:dyDescent="0.35">
      <c r="A1478">
        <v>2017</v>
      </c>
      <c r="B1478" t="s">
        <v>55</v>
      </c>
      <c r="C1478" t="s">
        <v>38</v>
      </c>
      <c r="D1478" s="1">
        <v>1230</v>
      </c>
      <c r="E1478" s="1">
        <v>12432</v>
      </c>
      <c r="F1478" s="2">
        <v>40520</v>
      </c>
    </row>
    <row r="1479" spans="1:6" x14ac:dyDescent="0.35">
      <c r="A1479">
        <v>2017</v>
      </c>
      <c r="B1479" t="s">
        <v>55</v>
      </c>
      <c r="C1479" t="s">
        <v>39</v>
      </c>
      <c r="D1479" s="1">
        <v>1026</v>
      </c>
      <c r="E1479" s="1">
        <v>6646</v>
      </c>
      <c r="F1479" s="2">
        <v>41459</v>
      </c>
    </row>
    <row r="1480" spans="1:6" x14ac:dyDescent="0.35">
      <c r="A1480">
        <v>2017</v>
      </c>
      <c r="B1480" t="s">
        <v>55</v>
      </c>
      <c r="C1480" t="s">
        <v>40</v>
      </c>
      <c r="D1480" s="1">
        <v>1071</v>
      </c>
      <c r="E1480" s="1">
        <v>10750</v>
      </c>
      <c r="F1480" s="2">
        <v>43908</v>
      </c>
    </row>
    <row r="1481" spans="1:6" x14ac:dyDescent="0.35">
      <c r="A1481">
        <v>2017</v>
      </c>
      <c r="B1481" t="s">
        <v>55</v>
      </c>
      <c r="C1481" t="s">
        <v>41</v>
      </c>
      <c r="D1481" s="1">
        <v>19580</v>
      </c>
      <c r="E1481" s="1">
        <v>281110</v>
      </c>
      <c r="F1481" s="2">
        <v>107415</v>
      </c>
    </row>
    <row r="1482" spans="1:6" x14ac:dyDescent="0.35">
      <c r="A1482">
        <v>2017</v>
      </c>
      <c r="B1482" t="s">
        <v>55</v>
      </c>
      <c r="C1482" t="s">
        <v>42</v>
      </c>
      <c r="D1482" s="1">
        <v>1034</v>
      </c>
      <c r="E1482" s="1">
        <v>14217</v>
      </c>
      <c r="F1482" s="2">
        <v>59120</v>
      </c>
    </row>
    <row r="1483" spans="1:6" x14ac:dyDescent="0.35">
      <c r="A1483">
        <v>2017</v>
      </c>
      <c r="B1483" t="s">
        <v>55</v>
      </c>
      <c r="C1483" t="s">
        <v>43</v>
      </c>
      <c r="D1483">
        <v>551</v>
      </c>
      <c r="E1483" s="1">
        <v>3901</v>
      </c>
      <c r="F1483" s="2">
        <v>37223</v>
      </c>
    </row>
    <row r="1484" spans="1:6" x14ac:dyDescent="0.35">
      <c r="A1484">
        <v>2017</v>
      </c>
      <c r="B1484" t="s">
        <v>55</v>
      </c>
      <c r="C1484" t="s">
        <v>44</v>
      </c>
      <c r="D1484" s="1">
        <v>2061</v>
      </c>
      <c r="E1484" s="1">
        <v>19558</v>
      </c>
      <c r="F1484" s="2">
        <v>44371</v>
      </c>
    </row>
    <row r="1485" spans="1:6" x14ac:dyDescent="0.35">
      <c r="A1485">
        <v>2017</v>
      </c>
      <c r="B1485" t="s">
        <v>55</v>
      </c>
      <c r="C1485" t="s">
        <v>45</v>
      </c>
      <c r="D1485" s="1">
        <v>7493</v>
      </c>
      <c r="E1485" s="1">
        <v>107674</v>
      </c>
      <c r="F1485" s="2">
        <v>32082</v>
      </c>
    </row>
    <row r="1486" spans="1:6" x14ac:dyDescent="0.35">
      <c r="A1486">
        <v>2017</v>
      </c>
      <c r="B1486" t="s">
        <v>55</v>
      </c>
      <c r="C1486" t="s">
        <v>46</v>
      </c>
      <c r="D1486" s="1">
        <v>1221</v>
      </c>
      <c r="E1486" s="1">
        <v>22793</v>
      </c>
      <c r="F1486" s="2">
        <v>76848</v>
      </c>
    </row>
    <row r="1487" spans="1:6" x14ac:dyDescent="0.35">
      <c r="A1487">
        <v>2017</v>
      </c>
      <c r="B1487" t="s">
        <v>55</v>
      </c>
      <c r="C1487" t="s">
        <v>47</v>
      </c>
      <c r="D1487" s="1">
        <v>2865</v>
      </c>
      <c r="E1487" s="1">
        <v>31986</v>
      </c>
      <c r="F1487" s="2">
        <v>37981</v>
      </c>
    </row>
    <row r="1488" spans="1:6" x14ac:dyDescent="0.35">
      <c r="A1488">
        <v>2017</v>
      </c>
      <c r="B1488" t="s">
        <v>55</v>
      </c>
      <c r="C1488" t="s">
        <v>48</v>
      </c>
      <c r="D1488" s="1">
        <v>1442</v>
      </c>
      <c r="E1488" s="1">
        <v>22390</v>
      </c>
      <c r="F1488" s="2">
        <v>81163</v>
      </c>
    </row>
    <row r="1489" spans="1:6" x14ac:dyDescent="0.35">
      <c r="A1489">
        <v>2017</v>
      </c>
      <c r="B1489" t="s">
        <v>51</v>
      </c>
      <c r="C1489" t="s">
        <v>1</v>
      </c>
      <c r="D1489" s="1">
        <v>9645</v>
      </c>
      <c r="E1489" s="1">
        <v>85262</v>
      </c>
      <c r="F1489" s="2">
        <v>52230</v>
      </c>
    </row>
    <row r="1490" spans="1:6" x14ac:dyDescent="0.35">
      <c r="A1490">
        <v>2017</v>
      </c>
      <c r="B1490" t="s">
        <v>51</v>
      </c>
      <c r="C1490" t="s">
        <v>2</v>
      </c>
      <c r="D1490" s="1">
        <v>11368</v>
      </c>
      <c r="E1490" s="1">
        <v>144747</v>
      </c>
      <c r="F1490" s="2">
        <v>53440</v>
      </c>
    </row>
    <row r="1491" spans="1:6" x14ac:dyDescent="0.35">
      <c r="A1491">
        <v>2017</v>
      </c>
      <c r="B1491" t="s">
        <v>51</v>
      </c>
      <c r="C1491" t="s">
        <v>3</v>
      </c>
      <c r="D1491" s="1">
        <v>6817</v>
      </c>
      <c r="E1491" s="1">
        <v>51130</v>
      </c>
      <c r="F1491" s="2">
        <v>47283</v>
      </c>
    </row>
    <row r="1492" spans="1:6" x14ac:dyDescent="0.35">
      <c r="A1492">
        <v>2017</v>
      </c>
      <c r="B1492" t="s">
        <v>51</v>
      </c>
      <c r="C1492" t="s">
        <v>4</v>
      </c>
      <c r="D1492" s="1">
        <v>72972</v>
      </c>
      <c r="E1492" s="1">
        <v>805942</v>
      </c>
      <c r="F1492" s="2">
        <v>67561</v>
      </c>
    </row>
    <row r="1493" spans="1:6" x14ac:dyDescent="0.35">
      <c r="A1493">
        <v>2017</v>
      </c>
      <c r="B1493" t="s">
        <v>51</v>
      </c>
      <c r="C1493" t="s">
        <v>5</v>
      </c>
      <c r="D1493" s="1">
        <v>19243</v>
      </c>
      <c r="E1493" s="1">
        <v>163473</v>
      </c>
      <c r="F1493" s="2">
        <v>59444</v>
      </c>
    </row>
    <row r="1494" spans="1:6" x14ac:dyDescent="0.35">
      <c r="A1494">
        <v>2017</v>
      </c>
      <c r="B1494" t="s">
        <v>51</v>
      </c>
      <c r="C1494" t="s">
        <v>6</v>
      </c>
      <c r="D1494" s="1">
        <v>9351</v>
      </c>
      <c r="E1494" s="1">
        <v>58327</v>
      </c>
      <c r="F1494" s="2">
        <v>68641</v>
      </c>
    </row>
    <row r="1495" spans="1:6" x14ac:dyDescent="0.35">
      <c r="A1495">
        <v>2017</v>
      </c>
      <c r="B1495" t="s">
        <v>51</v>
      </c>
      <c r="C1495" t="s">
        <v>7</v>
      </c>
      <c r="D1495" s="1">
        <v>2777</v>
      </c>
      <c r="E1495" s="1">
        <v>21591</v>
      </c>
      <c r="F1495" s="2">
        <v>59040</v>
      </c>
    </row>
    <row r="1496" spans="1:6" x14ac:dyDescent="0.35">
      <c r="A1496">
        <v>2017</v>
      </c>
      <c r="B1496" t="s">
        <v>51</v>
      </c>
      <c r="C1496" t="s">
        <v>8</v>
      </c>
      <c r="D1496" s="1">
        <v>67384</v>
      </c>
      <c r="E1496" s="1">
        <v>503704</v>
      </c>
      <c r="F1496" s="2">
        <v>49256</v>
      </c>
    </row>
    <row r="1497" spans="1:6" x14ac:dyDescent="0.35">
      <c r="A1497">
        <v>2017</v>
      </c>
      <c r="B1497" t="s">
        <v>51</v>
      </c>
      <c r="C1497" t="s">
        <v>9</v>
      </c>
      <c r="D1497" s="1">
        <v>20135</v>
      </c>
      <c r="E1497" s="1">
        <v>182259</v>
      </c>
      <c r="F1497" s="2">
        <v>58213</v>
      </c>
    </row>
    <row r="1498" spans="1:6" x14ac:dyDescent="0.35">
      <c r="A1498">
        <v>2017</v>
      </c>
      <c r="B1498" t="s">
        <v>51</v>
      </c>
      <c r="C1498" t="s">
        <v>10</v>
      </c>
      <c r="D1498" s="1">
        <v>7660</v>
      </c>
      <c r="E1498" s="1">
        <v>42668</v>
      </c>
      <c r="F1498" s="2">
        <v>42865</v>
      </c>
    </row>
    <row r="1499" spans="1:6" x14ac:dyDescent="0.35">
      <c r="A1499">
        <v>2017</v>
      </c>
      <c r="B1499" t="s">
        <v>51</v>
      </c>
      <c r="C1499" t="s">
        <v>11</v>
      </c>
      <c r="D1499" s="1">
        <v>31422</v>
      </c>
      <c r="E1499" s="1">
        <v>220019</v>
      </c>
      <c r="F1499" s="2">
        <v>70893</v>
      </c>
    </row>
    <row r="1500" spans="1:6" x14ac:dyDescent="0.35">
      <c r="A1500">
        <v>2017</v>
      </c>
      <c r="B1500" t="s">
        <v>51</v>
      </c>
      <c r="C1500" t="s">
        <v>12</v>
      </c>
      <c r="D1500" s="1">
        <v>14839</v>
      </c>
      <c r="E1500" s="1">
        <v>138040</v>
      </c>
      <c r="F1500" s="2">
        <v>57099</v>
      </c>
    </row>
    <row r="1501" spans="1:6" x14ac:dyDescent="0.35">
      <c r="A1501">
        <v>2017</v>
      </c>
      <c r="B1501" t="s">
        <v>51</v>
      </c>
      <c r="C1501" t="s">
        <v>13</v>
      </c>
      <c r="D1501" s="1">
        <v>9417</v>
      </c>
      <c r="E1501" s="1">
        <v>76086</v>
      </c>
      <c r="F1501" s="2">
        <v>55415</v>
      </c>
    </row>
    <row r="1502" spans="1:6" x14ac:dyDescent="0.35">
      <c r="A1502">
        <v>2017</v>
      </c>
      <c r="B1502" t="s">
        <v>51</v>
      </c>
      <c r="C1502" t="s">
        <v>14</v>
      </c>
      <c r="D1502" s="1">
        <v>7584</v>
      </c>
      <c r="E1502" s="1">
        <v>60238</v>
      </c>
      <c r="F1502" s="2">
        <v>52807</v>
      </c>
    </row>
    <row r="1503" spans="1:6" x14ac:dyDescent="0.35">
      <c r="A1503">
        <v>2017</v>
      </c>
      <c r="B1503" t="s">
        <v>51</v>
      </c>
      <c r="C1503" t="s">
        <v>15</v>
      </c>
      <c r="D1503" s="1">
        <v>9339</v>
      </c>
      <c r="E1503" s="1">
        <v>77332</v>
      </c>
      <c r="F1503" s="2">
        <v>53194</v>
      </c>
    </row>
    <row r="1504" spans="1:6" x14ac:dyDescent="0.35">
      <c r="A1504">
        <v>2017</v>
      </c>
      <c r="B1504" t="s">
        <v>51</v>
      </c>
      <c r="C1504" t="s">
        <v>16</v>
      </c>
      <c r="D1504" s="1">
        <v>10825</v>
      </c>
      <c r="E1504" s="1">
        <v>147021</v>
      </c>
      <c r="F1504" s="2">
        <v>61781</v>
      </c>
    </row>
    <row r="1505" spans="1:6" x14ac:dyDescent="0.35">
      <c r="A1505">
        <v>2017</v>
      </c>
      <c r="B1505" t="s">
        <v>51</v>
      </c>
      <c r="C1505" t="s">
        <v>17</v>
      </c>
      <c r="D1505" s="1">
        <v>5502</v>
      </c>
      <c r="E1505" s="1">
        <v>28253</v>
      </c>
      <c r="F1505" s="2">
        <v>47930</v>
      </c>
    </row>
    <row r="1506" spans="1:6" x14ac:dyDescent="0.35">
      <c r="A1506">
        <v>2017</v>
      </c>
      <c r="B1506" t="s">
        <v>51</v>
      </c>
      <c r="C1506" t="s">
        <v>18</v>
      </c>
      <c r="D1506" s="1">
        <v>16463</v>
      </c>
      <c r="E1506" s="1">
        <v>162140</v>
      </c>
      <c r="F1506" s="2">
        <v>65027</v>
      </c>
    </row>
    <row r="1507" spans="1:6" x14ac:dyDescent="0.35">
      <c r="A1507">
        <v>2017</v>
      </c>
      <c r="B1507" t="s">
        <v>51</v>
      </c>
      <c r="C1507" t="s">
        <v>19</v>
      </c>
      <c r="D1507" s="1">
        <v>21055</v>
      </c>
      <c r="E1507" s="1">
        <v>152131</v>
      </c>
      <c r="F1507" s="2">
        <v>75405</v>
      </c>
    </row>
    <row r="1508" spans="1:6" x14ac:dyDescent="0.35">
      <c r="A1508">
        <v>2017</v>
      </c>
      <c r="B1508" t="s">
        <v>51</v>
      </c>
      <c r="C1508" t="s">
        <v>20</v>
      </c>
      <c r="D1508" s="1">
        <v>19544</v>
      </c>
      <c r="E1508" s="1">
        <v>161903</v>
      </c>
      <c r="F1508" s="2">
        <v>61511</v>
      </c>
    </row>
    <row r="1509" spans="1:6" x14ac:dyDescent="0.35">
      <c r="A1509">
        <v>2017</v>
      </c>
      <c r="B1509" t="s">
        <v>51</v>
      </c>
      <c r="C1509" t="s">
        <v>21</v>
      </c>
      <c r="D1509" s="1">
        <v>15746</v>
      </c>
      <c r="E1509" s="1">
        <v>119642</v>
      </c>
      <c r="F1509" s="2">
        <v>65464</v>
      </c>
    </row>
    <row r="1510" spans="1:6" x14ac:dyDescent="0.35">
      <c r="A1510">
        <v>2017</v>
      </c>
      <c r="B1510" t="s">
        <v>51</v>
      </c>
      <c r="C1510" t="s">
        <v>22</v>
      </c>
      <c r="D1510" s="1">
        <v>5670</v>
      </c>
      <c r="E1510" s="1">
        <v>43467</v>
      </c>
      <c r="F1510" s="2">
        <v>48782</v>
      </c>
    </row>
    <row r="1511" spans="1:6" x14ac:dyDescent="0.35">
      <c r="A1511">
        <v>2017</v>
      </c>
      <c r="B1511" t="s">
        <v>51</v>
      </c>
      <c r="C1511" t="s">
        <v>23</v>
      </c>
      <c r="D1511" s="1">
        <v>15141</v>
      </c>
      <c r="E1511" s="1">
        <v>123034</v>
      </c>
      <c r="F1511" s="2">
        <v>57823</v>
      </c>
    </row>
    <row r="1512" spans="1:6" x14ac:dyDescent="0.35">
      <c r="A1512">
        <v>2017</v>
      </c>
      <c r="B1512" t="s">
        <v>51</v>
      </c>
      <c r="C1512" t="s">
        <v>24</v>
      </c>
      <c r="D1512" s="1">
        <v>6287</v>
      </c>
      <c r="E1512" s="1">
        <v>27712</v>
      </c>
      <c r="F1512" s="2">
        <v>50369</v>
      </c>
    </row>
    <row r="1513" spans="1:6" x14ac:dyDescent="0.35">
      <c r="A1513">
        <v>2017</v>
      </c>
      <c r="B1513" t="s">
        <v>51</v>
      </c>
      <c r="C1513" t="s">
        <v>25</v>
      </c>
      <c r="D1513" s="1">
        <v>7053</v>
      </c>
      <c r="E1513" s="1">
        <v>51174</v>
      </c>
      <c r="F1513" s="2">
        <v>49634</v>
      </c>
    </row>
    <row r="1514" spans="1:6" x14ac:dyDescent="0.35">
      <c r="A1514">
        <v>2017</v>
      </c>
      <c r="B1514" t="s">
        <v>51</v>
      </c>
      <c r="C1514" t="s">
        <v>26</v>
      </c>
      <c r="D1514" s="1">
        <v>5859</v>
      </c>
      <c r="E1514" s="1">
        <v>82998</v>
      </c>
      <c r="F1514" s="2">
        <v>58071</v>
      </c>
    </row>
    <row r="1515" spans="1:6" x14ac:dyDescent="0.35">
      <c r="A1515">
        <v>2017</v>
      </c>
      <c r="B1515" t="s">
        <v>51</v>
      </c>
      <c r="C1515" t="s">
        <v>27</v>
      </c>
      <c r="D1515" s="1">
        <v>4363</v>
      </c>
      <c r="E1515" s="1">
        <v>26466</v>
      </c>
      <c r="F1515" s="2">
        <v>61497</v>
      </c>
    </row>
    <row r="1516" spans="1:6" x14ac:dyDescent="0.35">
      <c r="A1516">
        <v>2017</v>
      </c>
      <c r="B1516" t="s">
        <v>51</v>
      </c>
      <c r="C1516" t="s">
        <v>28</v>
      </c>
      <c r="D1516" s="1">
        <v>21672</v>
      </c>
      <c r="E1516" s="1">
        <v>154907</v>
      </c>
      <c r="F1516" s="2">
        <v>71145</v>
      </c>
    </row>
    <row r="1517" spans="1:6" x14ac:dyDescent="0.35">
      <c r="A1517">
        <v>2017</v>
      </c>
      <c r="B1517" t="s">
        <v>51</v>
      </c>
      <c r="C1517" t="s">
        <v>29</v>
      </c>
      <c r="D1517" s="1">
        <v>5141</v>
      </c>
      <c r="E1517" s="1">
        <v>45511</v>
      </c>
      <c r="F1517" s="2">
        <v>46369</v>
      </c>
    </row>
    <row r="1518" spans="1:6" x14ac:dyDescent="0.35">
      <c r="A1518">
        <v>2017</v>
      </c>
      <c r="B1518" t="s">
        <v>51</v>
      </c>
      <c r="C1518" t="s">
        <v>30</v>
      </c>
      <c r="D1518" s="1">
        <v>50064</v>
      </c>
      <c r="E1518" s="1">
        <v>386615</v>
      </c>
      <c r="F1518" s="2">
        <v>71408</v>
      </c>
    </row>
    <row r="1519" spans="1:6" x14ac:dyDescent="0.35">
      <c r="A1519">
        <v>2017</v>
      </c>
      <c r="B1519" t="s">
        <v>51</v>
      </c>
      <c r="C1519" t="s">
        <v>31</v>
      </c>
      <c r="D1519" s="1">
        <v>26057</v>
      </c>
      <c r="E1519" s="1">
        <v>208662</v>
      </c>
      <c r="F1519" s="2">
        <v>52372</v>
      </c>
    </row>
    <row r="1520" spans="1:6" x14ac:dyDescent="0.35">
      <c r="A1520">
        <v>2017</v>
      </c>
      <c r="B1520" t="s">
        <v>51</v>
      </c>
      <c r="C1520" t="s">
        <v>32</v>
      </c>
      <c r="D1520" s="1">
        <v>4035</v>
      </c>
      <c r="E1520" s="1">
        <v>26732</v>
      </c>
      <c r="F1520" s="2">
        <v>63029</v>
      </c>
    </row>
    <row r="1521" spans="1:6" x14ac:dyDescent="0.35">
      <c r="A1521">
        <v>2017</v>
      </c>
      <c r="B1521" t="s">
        <v>51</v>
      </c>
      <c r="C1521" t="s">
        <v>33</v>
      </c>
      <c r="D1521" s="1">
        <v>23022</v>
      </c>
      <c r="E1521" s="1">
        <v>217025</v>
      </c>
      <c r="F1521" s="2">
        <v>60831</v>
      </c>
    </row>
    <row r="1522" spans="1:6" x14ac:dyDescent="0.35">
      <c r="A1522">
        <v>2017</v>
      </c>
      <c r="B1522" t="s">
        <v>51</v>
      </c>
      <c r="C1522" t="s">
        <v>34</v>
      </c>
      <c r="D1522" s="1">
        <v>9823</v>
      </c>
      <c r="E1522" s="1">
        <v>77247</v>
      </c>
      <c r="F1522" s="2">
        <v>50585</v>
      </c>
    </row>
    <row r="1523" spans="1:6" x14ac:dyDescent="0.35">
      <c r="A1523">
        <v>2017</v>
      </c>
      <c r="B1523" t="s">
        <v>51</v>
      </c>
      <c r="C1523" t="s">
        <v>35</v>
      </c>
      <c r="D1523" s="1">
        <v>13468</v>
      </c>
      <c r="E1523" s="1">
        <v>96991</v>
      </c>
      <c r="F1523" s="2">
        <v>57987</v>
      </c>
    </row>
    <row r="1524" spans="1:6" x14ac:dyDescent="0.35">
      <c r="A1524">
        <v>2017</v>
      </c>
      <c r="B1524" t="s">
        <v>51</v>
      </c>
      <c r="C1524" t="s">
        <v>36</v>
      </c>
      <c r="D1524" s="1">
        <v>28397</v>
      </c>
      <c r="E1524" s="1">
        <v>248932</v>
      </c>
      <c r="F1524" s="2">
        <v>64769</v>
      </c>
    </row>
    <row r="1525" spans="1:6" x14ac:dyDescent="0.35">
      <c r="A1525">
        <v>2017</v>
      </c>
      <c r="B1525" t="s">
        <v>51</v>
      </c>
      <c r="C1525" t="s">
        <v>38</v>
      </c>
      <c r="D1525" s="1">
        <v>11635</v>
      </c>
      <c r="E1525" s="1">
        <v>100817</v>
      </c>
      <c r="F1525" s="2">
        <v>53542</v>
      </c>
    </row>
    <row r="1526" spans="1:6" x14ac:dyDescent="0.35">
      <c r="A1526">
        <v>2017</v>
      </c>
      <c r="B1526" t="s">
        <v>51</v>
      </c>
      <c r="C1526" t="s">
        <v>39</v>
      </c>
      <c r="D1526" s="1">
        <v>3883</v>
      </c>
      <c r="E1526" s="1">
        <v>22351</v>
      </c>
      <c r="F1526" s="2">
        <v>47385</v>
      </c>
    </row>
    <row r="1527" spans="1:6" x14ac:dyDescent="0.35">
      <c r="A1527">
        <v>2017</v>
      </c>
      <c r="B1527" t="s">
        <v>51</v>
      </c>
      <c r="C1527" t="s">
        <v>40</v>
      </c>
      <c r="D1527" s="1">
        <v>11745</v>
      </c>
      <c r="E1527" s="1">
        <v>119968</v>
      </c>
      <c r="F1527" s="2">
        <v>56642</v>
      </c>
    </row>
    <row r="1528" spans="1:6" x14ac:dyDescent="0.35">
      <c r="A1528">
        <v>2017</v>
      </c>
      <c r="B1528" t="s">
        <v>51</v>
      </c>
      <c r="C1528" t="s">
        <v>41</v>
      </c>
      <c r="D1528" s="1">
        <v>49310</v>
      </c>
      <c r="E1528" s="1">
        <v>711119</v>
      </c>
      <c r="F1528" s="2">
        <v>63219</v>
      </c>
    </row>
    <row r="1529" spans="1:6" x14ac:dyDescent="0.35">
      <c r="A1529">
        <v>2017</v>
      </c>
      <c r="B1529" t="s">
        <v>51</v>
      </c>
      <c r="C1529" t="s">
        <v>42</v>
      </c>
      <c r="D1529" s="1">
        <v>10886</v>
      </c>
      <c r="E1529" s="1">
        <v>97495</v>
      </c>
      <c r="F1529" s="2">
        <v>49132</v>
      </c>
    </row>
    <row r="1530" spans="1:6" x14ac:dyDescent="0.35">
      <c r="A1530">
        <v>2017</v>
      </c>
      <c r="B1530" t="s">
        <v>51</v>
      </c>
      <c r="C1530" t="s">
        <v>43</v>
      </c>
      <c r="D1530" s="1">
        <v>2865</v>
      </c>
      <c r="E1530" s="1">
        <v>15187</v>
      </c>
      <c r="F1530" s="2">
        <v>50125</v>
      </c>
    </row>
    <row r="1531" spans="1:6" x14ac:dyDescent="0.35">
      <c r="A1531">
        <v>2017</v>
      </c>
      <c r="B1531" t="s">
        <v>51</v>
      </c>
      <c r="C1531" t="s">
        <v>44</v>
      </c>
      <c r="D1531" s="1">
        <v>21256</v>
      </c>
      <c r="E1531" s="1">
        <v>192576</v>
      </c>
      <c r="F1531" s="2">
        <v>56166</v>
      </c>
    </row>
    <row r="1532" spans="1:6" x14ac:dyDescent="0.35">
      <c r="A1532">
        <v>2017</v>
      </c>
      <c r="B1532" t="s">
        <v>51</v>
      </c>
      <c r="C1532" t="s">
        <v>45</v>
      </c>
      <c r="D1532" s="1">
        <v>25279</v>
      </c>
      <c r="E1532" s="1">
        <v>187247</v>
      </c>
      <c r="F1532" s="2">
        <v>61249</v>
      </c>
    </row>
    <row r="1533" spans="1:6" x14ac:dyDescent="0.35">
      <c r="A1533">
        <v>2017</v>
      </c>
      <c r="B1533" t="s">
        <v>51</v>
      </c>
      <c r="C1533" t="s">
        <v>46</v>
      </c>
      <c r="D1533" s="1">
        <v>4402</v>
      </c>
      <c r="E1533" s="1">
        <v>31522</v>
      </c>
      <c r="F1533" s="2">
        <v>57987</v>
      </c>
    </row>
    <row r="1534" spans="1:6" x14ac:dyDescent="0.35">
      <c r="A1534">
        <v>2017</v>
      </c>
      <c r="B1534" t="s">
        <v>51</v>
      </c>
      <c r="C1534" t="s">
        <v>47</v>
      </c>
      <c r="D1534" s="1">
        <v>14158</v>
      </c>
      <c r="E1534" s="1">
        <v>117226</v>
      </c>
      <c r="F1534" s="2">
        <v>60136</v>
      </c>
    </row>
    <row r="1535" spans="1:6" x14ac:dyDescent="0.35">
      <c r="A1535">
        <v>2017</v>
      </c>
      <c r="B1535" t="s">
        <v>51</v>
      </c>
      <c r="C1535" t="s">
        <v>48</v>
      </c>
      <c r="D1535" s="1">
        <v>3427</v>
      </c>
      <c r="E1535" s="1">
        <v>19573</v>
      </c>
      <c r="F1535" s="2">
        <v>50877</v>
      </c>
    </row>
    <row r="1536" spans="1:6" x14ac:dyDescent="0.35">
      <c r="A1536">
        <v>2017</v>
      </c>
      <c r="B1536" t="s">
        <v>52</v>
      </c>
      <c r="C1536" t="s">
        <v>1</v>
      </c>
      <c r="D1536" s="1">
        <v>5447</v>
      </c>
      <c r="E1536" s="1">
        <v>263487</v>
      </c>
      <c r="F1536" s="2">
        <v>55197</v>
      </c>
    </row>
    <row r="1537" spans="1:6" x14ac:dyDescent="0.35">
      <c r="A1537">
        <v>2017</v>
      </c>
      <c r="B1537" t="s">
        <v>52</v>
      </c>
      <c r="C1537" t="s">
        <v>2</v>
      </c>
      <c r="D1537" s="1">
        <v>4657</v>
      </c>
      <c r="E1537" s="1">
        <v>162399</v>
      </c>
      <c r="F1537" s="2">
        <v>73528</v>
      </c>
    </row>
    <row r="1538" spans="1:6" x14ac:dyDescent="0.35">
      <c r="A1538">
        <v>2017</v>
      </c>
      <c r="B1538" t="s">
        <v>52</v>
      </c>
      <c r="C1538" t="s">
        <v>3</v>
      </c>
      <c r="D1538" s="1">
        <v>2928</v>
      </c>
      <c r="E1538" s="1">
        <v>157305</v>
      </c>
      <c r="F1538" s="2">
        <v>46766</v>
      </c>
    </row>
    <row r="1539" spans="1:6" x14ac:dyDescent="0.35">
      <c r="A1539">
        <v>2017</v>
      </c>
      <c r="B1539" t="s">
        <v>52</v>
      </c>
      <c r="C1539" t="s">
        <v>4</v>
      </c>
      <c r="D1539" s="1">
        <v>42215</v>
      </c>
      <c r="E1539" s="1">
        <v>1303550</v>
      </c>
      <c r="F1539" s="2">
        <v>92246</v>
      </c>
    </row>
    <row r="1540" spans="1:6" x14ac:dyDescent="0.35">
      <c r="A1540">
        <v>2017</v>
      </c>
      <c r="B1540" t="s">
        <v>52</v>
      </c>
      <c r="C1540" t="s">
        <v>5</v>
      </c>
      <c r="D1540" s="1">
        <v>5750</v>
      </c>
      <c r="E1540" s="1">
        <v>144067</v>
      </c>
      <c r="F1540" s="2">
        <v>69446</v>
      </c>
    </row>
    <row r="1541" spans="1:6" x14ac:dyDescent="0.35">
      <c r="A1541">
        <v>2017</v>
      </c>
      <c r="B1541" t="s">
        <v>52</v>
      </c>
      <c r="C1541" t="s">
        <v>6</v>
      </c>
      <c r="D1541" s="1">
        <v>4460</v>
      </c>
      <c r="E1541" s="1">
        <v>158891</v>
      </c>
      <c r="F1541" s="2">
        <v>81864</v>
      </c>
    </row>
    <row r="1542" spans="1:6" x14ac:dyDescent="0.35">
      <c r="A1542">
        <v>2017</v>
      </c>
      <c r="B1542" t="s">
        <v>52</v>
      </c>
      <c r="C1542" t="s">
        <v>7</v>
      </c>
      <c r="D1542">
        <v>688</v>
      </c>
      <c r="E1542" s="1">
        <v>25928</v>
      </c>
      <c r="F1542" s="2">
        <v>62417</v>
      </c>
    </row>
    <row r="1543" spans="1:6" x14ac:dyDescent="0.35">
      <c r="A1543">
        <v>2017</v>
      </c>
      <c r="B1543" t="s">
        <v>52</v>
      </c>
      <c r="C1543" t="s">
        <v>8</v>
      </c>
      <c r="D1543" s="1">
        <v>20513</v>
      </c>
      <c r="E1543" s="1">
        <v>363137</v>
      </c>
      <c r="F1543" s="2">
        <v>59389</v>
      </c>
    </row>
    <row r="1544" spans="1:6" x14ac:dyDescent="0.35">
      <c r="A1544">
        <v>2017</v>
      </c>
      <c r="B1544" t="s">
        <v>52</v>
      </c>
      <c r="C1544" t="s">
        <v>9</v>
      </c>
      <c r="D1544" s="1">
        <v>9745</v>
      </c>
      <c r="E1544" s="1">
        <v>395916</v>
      </c>
      <c r="F1544" s="2">
        <v>57889</v>
      </c>
    </row>
    <row r="1545" spans="1:6" x14ac:dyDescent="0.35">
      <c r="A1545">
        <v>2017</v>
      </c>
      <c r="B1545" t="s">
        <v>52</v>
      </c>
      <c r="C1545" t="s">
        <v>10</v>
      </c>
      <c r="D1545" s="1">
        <v>2750</v>
      </c>
      <c r="E1545" s="1">
        <v>66056</v>
      </c>
      <c r="F1545" s="2">
        <v>61543</v>
      </c>
    </row>
    <row r="1546" spans="1:6" x14ac:dyDescent="0.35">
      <c r="A1546">
        <v>2017</v>
      </c>
      <c r="B1546" t="s">
        <v>52</v>
      </c>
      <c r="C1546" t="s">
        <v>11</v>
      </c>
      <c r="D1546" s="1">
        <v>17979</v>
      </c>
      <c r="E1546" s="1">
        <v>574692</v>
      </c>
      <c r="F1546" s="2">
        <v>70174</v>
      </c>
    </row>
    <row r="1547" spans="1:6" x14ac:dyDescent="0.35">
      <c r="A1547">
        <v>2017</v>
      </c>
      <c r="B1547" t="s">
        <v>52</v>
      </c>
      <c r="C1547" t="s">
        <v>12</v>
      </c>
      <c r="D1547" s="1">
        <v>8554</v>
      </c>
      <c r="E1547" s="1">
        <v>531312</v>
      </c>
      <c r="F1547" s="2">
        <v>61118</v>
      </c>
    </row>
    <row r="1548" spans="1:6" x14ac:dyDescent="0.35">
      <c r="A1548">
        <v>2017</v>
      </c>
      <c r="B1548" t="s">
        <v>52</v>
      </c>
      <c r="C1548" t="s">
        <v>13</v>
      </c>
      <c r="D1548" s="1">
        <v>4125</v>
      </c>
      <c r="E1548" s="1">
        <v>215910</v>
      </c>
      <c r="F1548" s="2">
        <v>58617</v>
      </c>
    </row>
    <row r="1549" spans="1:6" x14ac:dyDescent="0.35">
      <c r="A1549">
        <v>2017</v>
      </c>
      <c r="B1549" t="s">
        <v>52</v>
      </c>
      <c r="C1549" t="s">
        <v>14</v>
      </c>
      <c r="D1549" s="1">
        <v>3164</v>
      </c>
      <c r="E1549" s="1">
        <v>161517</v>
      </c>
      <c r="F1549" s="2">
        <v>57532</v>
      </c>
    </row>
    <row r="1550" spans="1:6" x14ac:dyDescent="0.35">
      <c r="A1550">
        <v>2017</v>
      </c>
      <c r="B1550" t="s">
        <v>52</v>
      </c>
      <c r="C1550" t="s">
        <v>15</v>
      </c>
      <c r="D1550" s="1">
        <v>4368</v>
      </c>
      <c r="E1550" s="1">
        <v>250180</v>
      </c>
      <c r="F1550" s="2">
        <v>58143</v>
      </c>
    </row>
    <row r="1551" spans="1:6" x14ac:dyDescent="0.35">
      <c r="A1551">
        <v>2017</v>
      </c>
      <c r="B1551" t="s">
        <v>52</v>
      </c>
      <c r="C1551" t="s">
        <v>16</v>
      </c>
      <c r="D1551" s="1">
        <v>4464</v>
      </c>
      <c r="E1551" s="1">
        <v>134680</v>
      </c>
      <c r="F1551" s="2">
        <v>72604</v>
      </c>
    </row>
    <row r="1552" spans="1:6" x14ac:dyDescent="0.35">
      <c r="A1552">
        <v>2017</v>
      </c>
      <c r="B1552" t="s">
        <v>52</v>
      </c>
      <c r="C1552" t="s">
        <v>17</v>
      </c>
      <c r="D1552" s="1">
        <v>1877</v>
      </c>
      <c r="E1552" s="1">
        <v>50911</v>
      </c>
      <c r="F1552" s="2">
        <v>55458</v>
      </c>
    </row>
    <row r="1553" spans="1:6" x14ac:dyDescent="0.35">
      <c r="A1553">
        <v>2017</v>
      </c>
      <c r="B1553" t="s">
        <v>52</v>
      </c>
      <c r="C1553" t="s">
        <v>18</v>
      </c>
      <c r="D1553" s="1">
        <v>3901</v>
      </c>
      <c r="E1553" s="1">
        <v>106864</v>
      </c>
      <c r="F1553" s="2">
        <v>77289</v>
      </c>
    </row>
    <row r="1554" spans="1:6" x14ac:dyDescent="0.35">
      <c r="A1554">
        <v>2017</v>
      </c>
      <c r="B1554" t="s">
        <v>52</v>
      </c>
      <c r="C1554" t="s">
        <v>19</v>
      </c>
      <c r="D1554" s="1">
        <v>6850</v>
      </c>
      <c r="E1554" s="1">
        <v>244647</v>
      </c>
      <c r="F1554" s="2">
        <v>88132</v>
      </c>
    </row>
    <row r="1555" spans="1:6" x14ac:dyDescent="0.35">
      <c r="A1555">
        <v>2017</v>
      </c>
      <c r="B1555" t="s">
        <v>52</v>
      </c>
      <c r="C1555" t="s">
        <v>20</v>
      </c>
      <c r="D1555" s="1">
        <v>15721</v>
      </c>
      <c r="E1555" s="1">
        <v>615106</v>
      </c>
      <c r="F1555" s="2">
        <v>66395</v>
      </c>
    </row>
    <row r="1556" spans="1:6" x14ac:dyDescent="0.35">
      <c r="A1556">
        <v>2017</v>
      </c>
      <c r="B1556" t="s">
        <v>52</v>
      </c>
      <c r="C1556" t="s">
        <v>21</v>
      </c>
      <c r="D1556" s="1">
        <v>8369</v>
      </c>
      <c r="E1556" s="1">
        <v>319035</v>
      </c>
      <c r="F1556" s="2">
        <v>65734</v>
      </c>
    </row>
    <row r="1557" spans="1:6" x14ac:dyDescent="0.35">
      <c r="A1557">
        <v>2017</v>
      </c>
      <c r="B1557" t="s">
        <v>52</v>
      </c>
      <c r="C1557" t="s">
        <v>22</v>
      </c>
      <c r="D1557" s="1">
        <v>2441</v>
      </c>
      <c r="E1557" s="1">
        <v>144047</v>
      </c>
      <c r="F1557" s="2">
        <v>48199</v>
      </c>
    </row>
    <row r="1558" spans="1:6" x14ac:dyDescent="0.35">
      <c r="A1558">
        <v>2017</v>
      </c>
      <c r="B1558" t="s">
        <v>52</v>
      </c>
      <c r="C1558" t="s">
        <v>23</v>
      </c>
      <c r="D1558" s="1">
        <v>6636</v>
      </c>
      <c r="E1558" s="1">
        <v>265863</v>
      </c>
      <c r="F1558" s="2">
        <v>57139</v>
      </c>
    </row>
    <row r="1559" spans="1:6" x14ac:dyDescent="0.35">
      <c r="A1559">
        <v>2017</v>
      </c>
      <c r="B1559" t="s">
        <v>52</v>
      </c>
      <c r="C1559" t="s">
        <v>24</v>
      </c>
      <c r="D1559" s="1">
        <v>1572</v>
      </c>
      <c r="E1559" s="1">
        <v>19893</v>
      </c>
      <c r="F1559" s="2">
        <v>48758</v>
      </c>
    </row>
    <row r="1560" spans="1:6" x14ac:dyDescent="0.35">
      <c r="A1560">
        <v>2017</v>
      </c>
      <c r="B1560" t="s">
        <v>52</v>
      </c>
      <c r="C1560" t="s">
        <v>25</v>
      </c>
      <c r="D1560" s="1">
        <v>1977</v>
      </c>
      <c r="E1560" s="1">
        <v>98082</v>
      </c>
      <c r="F1560" s="2">
        <v>49568</v>
      </c>
    </row>
    <row r="1561" spans="1:6" x14ac:dyDescent="0.35">
      <c r="A1561">
        <v>2017</v>
      </c>
      <c r="B1561" t="s">
        <v>52</v>
      </c>
      <c r="C1561" t="s">
        <v>26</v>
      </c>
      <c r="D1561" s="1">
        <v>2043</v>
      </c>
      <c r="E1561" s="1">
        <v>47800</v>
      </c>
      <c r="F1561" s="2">
        <v>56486</v>
      </c>
    </row>
    <row r="1562" spans="1:6" x14ac:dyDescent="0.35">
      <c r="A1562">
        <v>2017</v>
      </c>
      <c r="B1562" t="s">
        <v>52</v>
      </c>
      <c r="C1562" t="s">
        <v>27</v>
      </c>
      <c r="D1562" s="1">
        <v>2011</v>
      </c>
      <c r="E1562" s="1">
        <v>68971</v>
      </c>
      <c r="F1562" s="2">
        <v>70482</v>
      </c>
    </row>
    <row r="1563" spans="1:6" x14ac:dyDescent="0.35">
      <c r="A1563">
        <v>2017</v>
      </c>
      <c r="B1563" t="s">
        <v>52</v>
      </c>
      <c r="C1563" t="s">
        <v>28</v>
      </c>
      <c r="D1563" s="1">
        <v>8962</v>
      </c>
      <c r="E1563" s="1">
        <v>242476</v>
      </c>
      <c r="F1563" s="2">
        <v>78813</v>
      </c>
    </row>
    <row r="1564" spans="1:6" x14ac:dyDescent="0.35">
      <c r="A1564">
        <v>2017</v>
      </c>
      <c r="B1564" t="s">
        <v>52</v>
      </c>
      <c r="C1564" t="s">
        <v>29</v>
      </c>
      <c r="D1564" s="1">
        <v>1724</v>
      </c>
      <c r="E1564" s="1">
        <v>26398</v>
      </c>
      <c r="F1564" s="2">
        <v>53328</v>
      </c>
    </row>
    <row r="1565" spans="1:6" x14ac:dyDescent="0.35">
      <c r="A1565">
        <v>2017</v>
      </c>
      <c r="B1565" t="s">
        <v>52</v>
      </c>
      <c r="C1565" t="s">
        <v>30</v>
      </c>
      <c r="D1565" s="1">
        <v>17319</v>
      </c>
      <c r="E1565" s="1">
        <v>444182</v>
      </c>
      <c r="F1565" s="2">
        <v>65899</v>
      </c>
    </row>
    <row r="1566" spans="1:6" x14ac:dyDescent="0.35">
      <c r="A1566">
        <v>2017</v>
      </c>
      <c r="B1566" t="s">
        <v>52</v>
      </c>
      <c r="C1566" t="s">
        <v>31</v>
      </c>
      <c r="D1566" s="1">
        <v>10287</v>
      </c>
      <c r="E1566" s="1">
        <v>467306</v>
      </c>
      <c r="F1566" s="2">
        <v>58368</v>
      </c>
    </row>
    <row r="1567" spans="1:6" x14ac:dyDescent="0.35">
      <c r="A1567">
        <v>2017</v>
      </c>
      <c r="B1567" t="s">
        <v>52</v>
      </c>
      <c r="C1567" t="s">
        <v>32</v>
      </c>
      <c r="D1567">
        <v>810</v>
      </c>
      <c r="E1567" s="1">
        <v>24680</v>
      </c>
      <c r="F1567" s="2">
        <v>52594</v>
      </c>
    </row>
    <row r="1568" spans="1:6" x14ac:dyDescent="0.35">
      <c r="A1568">
        <v>2017</v>
      </c>
      <c r="B1568" t="s">
        <v>52</v>
      </c>
      <c r="C1568" t="s">
        <v>33</v>
      </c>
      <c r="D1568" s="1">
        <v>15430</v>
      </c>
      <c r="E1568" s="1">
        <v>685942</v>
      </c>
      <c r="F1568" s="2">
        <v>60002</v>
      </c>
    </row>
    <row r="1569" spans="1:6" x14ac:dyDescent="0.35">
      <c r="A1569">
        <v>2017</v>
      </c>
      <c r="B1569" t="s">
        <v>52</v>
      </c>
      <c r="C1569" t="s">
        <v>34</v>
      </c>
      <c r="D1569" s="1">
        <v>4230</v>
      </c>
      <c r="E1569" s="1">
        <v>128122</v>
      </c>
      <c r="F1569" s="2">
        <v>55496</v>
      </c>
    </row>
    <row r="1570" spans="1:6" x14ac:dyDescent="0.35">
      <c r="A1570">
        <v>2017</v>
      </c>
      <c r="B1570" t="s">
        <v>52</v>
      </c>
      <c r="C1570" t="s">
        <v>35</v>
      </c>
      <c r="D1570" s="1">
        <v>6175</v>
      </c>
      <c r="E1570" s="1">
        <v>189318</v>
      </c>
      <c r="F1570" s="2">
        <v>68161</v>
      </c>
    </row>
    <row r="1571" spans="1:6" x14ac:dyDescent="0.35">
      <c r="A1571">
        <v>2017</v>
      </c>
      <c r="B1571" t="s">
        <v>52</v>
      </c>
      <c r="C1571" t="s">
        <v>36</v>
      </c>
      <c r="D1571" s="1">
        <v>14414</v>
      </c>
      <c r="E1571" s="1">
        <v>561774</v>
      </c>
      <c r="F1571" s="2">
        <v>61111</v>
      </c>
    </row>
    <row r="1572" spans="1:6" x14ac:dyDescent="0.35">
      <c r="A1572">
        <v>2017</v>
      </c>
      <c r="B1572" t="s">
        <v>52</v>
      </c>
      <c r="C1572" t="s">
        <v>37</v>
      </c>
      <c r="D1572" s="1">
        <v>1567</v>
      </c>
      <c r="E1572" s="1">
        <v>40341</v>
      </c>
      <c r="F1572" s="2">
        <v>57616</v>
      </c>
    </row>
    <row r="1573" spans="1:6" x14ac:dyDescent="0.35">
      <c r="A1573">
        <v>2017</v>
      </c>
      <c r="B1573" t="s">
        <v>52</v>
      </c>
      <c r="C1573" t="s">
        <v>38</v>
      </c>
      <c r="D1573" s="1">
        <v>5906</v>
      </c>
      <c r="E1573" s="1">
        <v>240456</v>
      </c>
      <c r="F1573" s="2">
        <v>58927</v>
      </c>
    </row>
    <row r="1574" spans="1:6" x14ac:dyDescent="0.35">
      <c r="A1574">
        <v>2017</v>
      </c>
      <c r="B1574" t="s">
        <v>52</v>
      </c>
      <c r="C1574" t="s">
        <v>39</v>
      </c>
      <c r="D1574" s="1">
        <v>1091</v>
      </c>
      <c r="E1574" s="1">
        <v>43081</v>
      </c>
      <c r="F1574" s="2">
        <v>47877</v>
      </c>
    </row>
    <row r="1575" spans="1:6" x14ac:dyDescent="0.35">
      <c r="A1575">
        <v>2017</v>
      </c>
      <c r="B1575" t="s">
        <v>52</v>
      </c>
      <c r="C1575" t="s">
        <v>40</v>
      </c>
      <c r="D1575" s="1">
        <v>6835</v>
      </c>
      <c r="E1575" s="1">
        <v>348417</v>
      </c>
      <c r="F1575" s="2">
        <v>59526</v>
      </c>
    </row>
    <row r="1576" spans="1:6" x14ac:dyDescent="0.35">
      <c r="A1576">
        <v>2017</v>
      </c>
      <c r="B1576" t="s">
        <v>52</v>
      </c>
      <c r="C1576" t="s">
        <v>41</v>
      </c>
      <c r="D1576" s="1">
        <v>24275</v>
      </c>
      <c r="E1576" s="1">
        <v>851513</v>
      </c>
      <c r="F1576" s="2">
        <v>75813</v>
      </c>
    </row>
    <row r="1577" spans="1:6" x14ac:dyDescent="0.35">
      <c r="A1577">
        <v>2017</v>
      </c>
      <c r="B1577" t="s">
        <v>52</v>
      </c>
      <c r="C1577" t="s">
        <v>42</v>
      </c>
      <c r="D1577" s="1">
        <v>4248</v>
      </c>
      <c r="E1577" s="1">
        <v>128365</v>
      </c>
      <c r="F1577" s="2">
        <v>56723</v>
      </c>
    </row>
    <row r="1578" spans="1:6" x14ac:dyDescent="0.35">
      <c r="A1578">
        <v>2017</v>
      </c>
      <c r="B1578" t="s">
        <v>52</v>
      </c>
      <c r="C1578" t="s">
        <v>43</v>
      </c>
      <c r="D1578" s="1">
        <v>1105</v>
      </c>
      <c r="E1578" s="1">
        <v>29550</v>
      </c>
      <c r="F1578" s="2">
        <v>58004</v>
      </c>
    </row>
    <row r="1579" spans="1:6" x14ac:dyDescent="0.35">
      <c r="A1579">
        <v>2017</v>
      </c>
      <c r="B1579" t="s">
        <v>52</v>
      </c>
      <c r="C1579" t="s">
        <v>44</v>
      </c>
      <c r="D1579" s="1">
        <v>6475</v>
      </c>
      <c r="E1579" s="1">
        <v>232927</v>
      </c>
      <c r="F1579" s="2">
        <v>57894</v>
      </c>
    </row>
    <row r="1580" spans="1:6" x14ac:dyDescent="0.35">
      <c r="A1580">
        <v>2017</v>
      </c>
      <c r="B1580" t="s">
        <v>52</v>
      </c>
      <c r="C1580" t="s">
        <v>45</v>
      </c>
      <c r="D1580" s="1">
        <v>7671</v>
      </c>
      <c r="E1580" s="1">
        <v>280368</v>
      </c>
      <c r="F1580" s="2">
        <v>76290</v>
      </c>
    </row>
    <row r="1581" spans="1:6" x14ac:dyDescent="0.35">
      <c r="A1581">
        <v>2017</v>
      </c>
      <c r="B1581" t="s">
        <v>52</v>
      </c>
      <c r="C1581" t="s">
        <v>46</v>
      </c>
      <c r="D1581" s="1">
        <v>1272</v>
      </c>
      <c r="E1581" s="1">
        <v>46575</v>
      </c>
      <c r="F1581" s="2">
        <v>58624</v>
      </c>
    </row>
    <row r="1582" spans="1:6" x14ac:dyDescent="0.35">
      <c r="A1582">
        <v>2017</v>
      </c>
      <c r="B1582" t="s">
        <v>52</v>
      </c>
      <c r="C1582" t="s">
        <v>47</v>
      </c>
      <c r="D1582" s="1">
        <v>9356</v>
      </c>
      <c r="E1582" s="1">
        <v>466595</v>
      </c>
      <c r="F1582" s="2">
        <v>57001</v>
      </c>
    </row>
    <row r="1583" spans="1:6" x14ac:dyDescent="0.35">
      <c r="A1583">
        <v>2017</v>
      </c>
      <c r="B1583" t="s">
        <v>52</v>
      </c>
      <c r="C1583" t="s">
        <v>48</v>
      </c>
      <c r="D1583">
        <v>598</v>
      </c>
      <c r="E1583" s="1">
        <v>9378</v>
      </c>
      <c r="F1583" s="2">
        <v>65834</v>
      </c>
    </row>
    <row r="1584" spans="1:6" x14ac:dyDescent="0.35">
      <c r="A1584">
        <v>2017</v>
      </c>
      <c r="B1584" t="s">
        <v>54</v>
      </c>
      <c r="C1584" t="s">
        <v>1</v>
      </c>
      <c r="D1584" s="1">
        <v>32410</v>
      </c>
      <c r="E1584" s="1">
        <v>375653</v>
      </c>
      <c r="F1584" s="2">
        <v>40518</v>
      </c>
    </row>
    <row r="1585" spans="1:6" x14ac:dyDescent="0.35">
      <c r="A1585">
        <v>2017</v>
      </c>
      <c r="B1585" t="s">
        <v>54</v>
      </c>
      <c r="C1585" t="s">
        <v>2</v>
      </c>
      <c r="D1585" s="1">
        <v>29489</v>
      </c>
      <c r="E1585" s="1">
        <v>518475</v>
      </c>
      <c r="F1585" s="2">
        <v>45126</v>
      </c>
    </row>
    <row r="1586" spans="1:6" x14ac:dyDescent="0.35">
      <c r="A1586">
        <v>2017</v>
      </c>
      <c r="B1586" t="s">
        <v>54</v>
      </c>
      <c r="C1586" t="s">
        <v>3</v>
      </c>
      <c r="D1586" s="1">
        <v>21486</v>
      </c>
      <c r="E1586" s="1">
        <v>247661</v>
      </c>
      <c r="F1586" s="2">
        <v>40275</v>
      </c>
    </row>
    <row r="1587" spans="1:6" x14ac:dyDescent="0.35">
      <c r="A1587">
        <v>2017</v>
      </c>
      <c r="B1587" t="s">
        <v>54</v>
      </c>
      <c r="C1587" t="s">
        <v>4</v>
      </c>
      <c r="D1587" s="1">
        <v>185826</v>
      </c>
      <c r="E1587" s="1">
        <v>3010983</v>
      </c>
      <c r="F1587" s="2">
        <v>51095</v>
      </c>
    </row>
    <row r="1588" spans="1:6" x14ac:dyDescent="0.35">
      <c r="A1588">
        <v>2017</v>
      </c>
      <c r="B1588" t="s">
        <v>54</v>
      </c>
      <c r="C1588" t="s">
        <v>5</v>
      </c>
      <c r="D1588" s="1">
        <v>35715</v>
      </c>
      <c r="E1588" s="1">
        <v>458174</v>
      </c>
      <c r="F1588" s="2">
        <v>48601</v>
      </c>
    </row>
    <row r="1589" spans="1:6" x14ac:dyDescent="0.35">
      <c r="A1589">
        <v>2017</v>
      </c>
      <c r="B1589" t="s">
        <v>54</v>
      </c>
      <c r="C1589" t="s">
        <v>6</v>
      </c>
      <c r="D1589" s="1">
        <v>25027</v>
      </c>
      <c r="E1589" s="1">
        <v>297198</v>
      </c>
      <c r="F1589" s="2">
        <v>50064</v>
      </c>
    </row>
    <row r="1590" spans="1:6" x14ac:dyDescent="0.35">
      <c r="A1590">
        <v>2017</v>
      </c>
      <c r="B1590" t="s">
        <v>54</v>
      </c>
      <c r="C1590" t="s">
        <v>7</v>
      </c>
      <c r="D1590" s="1">
        <v>6681</v>
      </c>
      <c r="E1590" s="1">
        <v>79724</v>
      </c>
      <c r="F1590" s="2">
        <v>39700</v>
      </c>
    </row>
    <row r="1591" spans="1:6" x14ac:dyDescent="0.35">
      <c r="A1591">
        <v>2017</v>
      </c>
      <c r="B1591" t="s">
        <v>54</v>
      </c>
      <c r="C1591" t="s">
        <v>8</v>
      </c>
      <c r="D1591" s="1">
        <v>139501</v>
      </c>
      <c r="E1591" s="1">
        <v>1739867</v>
      </c>
      <c r="F1591" s="2">
        <v>43229</v>
      </c>
    </row>
    <row r="1592" spans="1:6" x14ac:dyDescent="0.35">
      <c r="A1592">
        <v>2017</v>
      </c>
      <c r="B1592" t="s">
        <v>54</v>
      </c>
      <c r="C1592" t="s">
        <v>9</v>
      </c>
      <c r="D1592" s="1">
        <v>60382</v>
      </c>
      <c r="E1592" s="1">
        <v>930943</v>
      </c>
      <c r="F1592" s="2">
        <v>48763</v>
      </c>
    </row>
    <row r="1593" spans="1:6" x14ac:dyDescent="0.35">
      <c r="A1593">
        <v>2017</v>
      </c>
      <c r="B1593" t="s">
        <v>54</v>
      </c>
      <c r="C1593" t="s">
        <v>10</v>
      </c>
      <c r="D1593" s="1">
        <v>11706</v>
      </c>
      <c r="E1593" s="1">
        <v>136606</v>
      </c>
      <c r="F1593" s="2">
        <v>38856</v>
      </c>
    </row>
    <row r="1594" spans="1:6" x14ac:dyDescent="0.35">
      <c r="A1594">
        <v>2017</v>
      </c>
      <c r="B1594" t="s">
        <v>54</v>
      </c>
      <c r="C1594" t="s">
        <v>11</v>
      </c>
      <c r="D1594" s="1">
        <v>77273</v>
      </c>
      <c r="E1594" s="1">
        <v>1192805</v>
      </c>
      <c r="F1594" s="2">
        <v>50025</v>
      </c>
    </row>
    <row r="1595" spans="1:6" x14ac:dyDescent="0.35">
      <c r="A1595">
        <v>2017</v>
      </c>
      <c r="B1595" t="s">
        <v>54</v>
      </c>
      <c r="C1595" t="s">
        <v>12</v>
      </c>
      <c r="D1595" s="1">
        <v>40630</v>
      </c>
      <c r="E1595" s="1">
        <v>588381</v>
      </c>
      <c r="F1595" s="2">
        <v>40479</v>
      </c>
    </row>
    <row r="1596" spans="1:6" x14ac:dyDescent="0.35">
      <c r="A1596">
        <v>2017</v>
      </c>
      <c r="B1596" t="s">
        <v>54</v>
      </c>
      <c r="C1596" t="s">
        <v>13</v>
      </c>
      <c r="D1596" s="1">
        <v>23446</v>
      </c>
      <c r="E1596" s="1">
        <v>311763</v>
      </c>
      <c r="F1596" s="2">
        <v>39025</v>
      </c>
    </row>
    <row r="1597" spans="1:6" x14ac:dyDescent="0.35">
      <c r="A1597">
        <v>2017</v>
      </c>
      <c r="B1597" t="s">
        <v>54</v>
      </c>
      <c r="C1597" t="s">
        <v>14</v>
      </c>
      <c r="D1597" s="1">
        <v>20676</v>
      </c>
      <c r="E1597" s="1">
        <v>263529</v>
      </c>
      <c r="F1597" s="2">
        <v>40705</v>
      </c>
    </row>
    <row r="1598" spans="1:6" x14ac:dyDescent="0.35">
      <c r="A1598">
        <v>2017</v>
      </c>
      <c r="B1598" t="s">
        <v>54</v>
      </c>
      <c r="C1598" t="s">
        <v>15</v>
      </c>
      <c r="D1598" s="1">
        <v>27941</v>
      </c>
      <c r="E1598" s="1">
        <v>398217</v>
      </c>
      <c r="F1598" s="2">
        <v>41261</v>
      </c>
    </row>
    <row r="1599" spans="1:6" x14ac:dyDescent="0.35">
      <c r="A1599">
        <v>2017</v>
      </c>
      <c r="B1599" t="s">
        <v>54</v>
      </c>
      <c r="C1599" t="s">
        <v>16</v>
      </c>
      <c r="D1599" s="1">
        <v>30444</v>
      </c>
      <c r="E1599" s="1">
        <v>378830</v>
      </c>
      <c r="F1599" s="2">
        <v>40938</v>
      </c>
    </row>
    <row r="1600" spans="1:6" x14ac:dyDescent="0.35">
      <c r="A1600">
        <v>2017</v>
      </c>
      <c r="B1600" t="s">
        <v>54</v>
      </c>
      <c r="C1600" t="s">
        <v>17</v>
      </c>
      <c r="D1600" s="1">
        <v>11060</v>
      </c>
      <c r="E1600" s="1">
        <v>119329</v>
      </c>
      <c r="F1600" s="2">
        <v>36287</v>
      </c>
    </row>
    <row r="1601" spans="1:6" x14ac:dyDescent="0.35">
      <c r="A1601">
        <v>2017</v>
      </c>
      <c r="B1601" t="s">
        <v>54</v>
      </c>
      <c r="C1601" t="s">
        <v>18</v>
      </c>
      <c r="D1601" s="1">
        <v>33064</v>
      </c>
      <c r="E1601" s="1">
        <v>462131</v>
      </c>
      <c r="F1601" s="2">
        <v>45367</v>
      </c>
    </row>
    <row r="1602" spans="1:6" x14ac:dyDescent="0.35">
      <c r="A1602">
        <v>2017</v>
      </c>
      <c r="B1602" t="s">
        <v>54</v>
      </c>
      <c r="C1602" t="s">
        <v>19</v>
      </c>
      <c r="D1602" s="1">
        <v>42906</v>
      </c>
      <c r="E1602" s="1">
        <v>577319</v>
      </c>
      <c r="F1602" s="2">
        <v>51500</v>
      </c>
    </row>
    <row r="1603" spans="1:6" x14ac:dyDescent="0.35">
      <c r="A1603">
        <v>2017</v>
      </c>
      <c r="B1603" t="s">
        <v>54</v>
      </c>
      <c r="C1603" t="s">
        <v>20</v>
      </c>
      <c r="D1603" s="1">
        <v>52149</v>
      </c>
      <c r="E1603" s="1">
        <v>784393</v>
      </c>
      <c r="F1603" s="2">
        <v>45628</v>
      </c>
    </row>
    <row r="1604" spans="1:6" x14ac:dyDescent="0.35">
      <c r="A1604">
        <v>2017</v>
      </c>
      <c r="B1604" t="s">
        <v>54</v>
      </c>
      <c r="C1604" t="s">
        <v>21</v>
      </c>
      <c r="D1604" s="1">
        <v>36334</v>
      </c>
      <c r="E1604" s="1">
        <v>531926</v>
      </c>
      <c r="F1604" s="2">
        <v>48273</v>
      </c>
    </row>
    <row r="1605" spans="1:6" x14ac:dyDescent="0.35">
      <c r="A1605">
        <v>2017</v>
      </c>
      <c r="B1605" t="s">
        <v>54</v>
      </c>
      <c r="C1605" t="s">
        <v>22</v>
      </c>
      <c r="D1605" s="1">
        <v>19589</v>
      </c>
      <c r="E1605" s="1">
        <v>229775</v>
      </c>
      <c r="F1605" s="2">
        <v>35324</v>
      </c>
    </row>
    <row r="1606" spans="1:6" x14ac:dyDescent="0.35">
      <c r="A1606">
        <v>2017</v>
      </c>
      <c r="B1606" t="s">
        <v>54</v>
      </c>
      <c r="C1606" t="s">
        <v>23</v>
      </c>
      <c r="D1606" s="1">
        <v>40324</v>
      </c>
      <c r="E1606" s="1">
        <v>538185</v>
      </c>
      <c r="F1606" s="2">
        <v>41095</v>
      </c>
    </row>
    <row r="1607" spans="1:6" x14ac:dyDescent="0.35">
      <c r="A1607">
        <v>2017</v>
      </c>
      <c r="B1607" t="s">
        <v>54</v>
      </c>
      <c r="C1607" t="s">
        <v>24</v>
      </c>
      <c r="D1607" s="1">
        <v>9270</v>
      </c>
      <c r="E1607" s="1">
        <v>91194</v>
      </c>
      <c r="F1607" s="2">
        <v>38067</v>
      </c>
    </row>
    <row r="1608" spans="1:6" x14ac:dyDescent="0.35">
      <c r="A1608">
        <v>2017</v>
      </c>
      <c r="B1608" t="s">
        <v>54</v>
      </c>
      <c r="C1608" t="s">
        <v>25</v>
      </c>
      <c r="D1608" s="1">
        <v>15024</v>
      </c>
      <c r="E1608" s="1">
        <v>190930</v>
      </c>
      <c r="F1608" s="2">
        <v>38493</v>
      </c>
    </row>
    <row r="1609" spans="1:6" x14ac:dyDescent="0.35">
      <c r="A1609">
        <v>2017</v>
      </c>
      <c r="B1609" t="s">
        <v>54</v>
      </c>
      <c r="C1609" t="s">
        <v>26</v>
      </c>
      <c r="D1609" s="1">
        <v>15910</v>
      </c>
      <c r="E1609" s="1">
        <v>247973</v>
      </c>
      <c r="F1609" s="2">
        <v>42847</v>
      </c>
    </row>
    <row r="1610" spans="1:6" x14ac:dyDescent="0.35">
      <c r="A1610">
        <v>2017</v>
      </c>
      <c r="B1610" t="s">
        <v>54</v>
      </c>
      <c r="C1610" t="s">
        <v>27</v>
      </c>
      <c r="D1610" s="1">
        <v>12612</v>
      </c>
      <c r="E1610" s="1">
        <v>139876</v>
      </c>
      <c r="F1610" s="2">
        <v>46101</v>
      </c>
    </row>
    <row r="1611" spans="1:6" x14ac:dyDescent="0.35">
      <c r="A1611">
        <v>2017</v>
      </c>
      <c r="B1611" t="s">
        <v>54</v>
      </c>
      <c r="C1611" t="s">
        <v>28</v>
      </c>
      <c r="D1611" s="1">
        <v>53977</v>
      </c>
      <c r="E1611" s="1">
        <v>872180</v>
      </c>
      <c r="F1611" s="2">
        <v>52631</v>
      </c>
    </row>
    <row r="1612" spans="1:6" x14ac:dyDescent="0.35">
      <c r="A1612">
        <v>2017</v>
      </c>
      <c r="B1612" t="s">
        <v>54</v>
      </c>
      <c r="C1612" t="s">
        <v>29</v>
      </c>
      <c r="D1612" s="1">
        <v>10538</v>
      </c>
      <c r="E1612" s="1">
        <v>134696</v>
      </c>
      <c r="F1612" s="2">
        <v>36519</v>
      </c>
    </row>
    <row r="1613" spans="1:6" x14ac:dyDescent="0.35">
      <c r="A1613">
        <v>2017</v>
      </c>
      <c r="B1613" t="s">
        <v>54</v>
      </c>
      <c r="C1613" t="s">
        <v>30</v>
      </c>
      <c r="D1613" s="1">
        <v>126549</v>
      </c>
      <c r="E1613" s="1">
        <v>1562385</v>
      </c>
      <c r="F1613" s="2">
        <v>50389</v>
      </c>
    </row>
    <row r="1614" spans="1:6" x14ac:dyDescent="0.35">
      <c r="A1614">
        <v>2017</v>
      </c>
      <c r="B1614" t="s">
        <v>54</v>
      </c>
      <c r="C1614" t="s">
        <v>31</v>
      </c>
      <c r="D1614" s="1">
        <v>61042</v>
      </c>
      <c r="E1614" s="1">
        <v>824989</v>
      </c>
      <c r="F1614" s="2">
        <v>41845</v>
      </c>
    </row>
    <row r="1615" spans="1:6" x14ac:dyDescent="0.35">
      <c r="A1615">
        <v>2017</v>
      </c>
      <c r="B1615" t="s">
        <v>54</v>
      </c>
      <c r="C1615" t="s">
        <v>32</v>
      </c>
      <c r="D1615" s="1">
        <v>7819</v>
      </c>
      <c r="E1615" s="1">
        <v>92052</v>
      </c>
      <c r="F1615" s="2">
        <v>47910</v>
      </c>
    </row>
    <row r="1616" spans="1:6" x14ac:dyDescent="0.35">
      <c r="A1616">
        <v>2017</v>
      </c>
      <c r="B1616" t="s">
        <v>54</v>
      </c>
      <c r="C1616" t="s">
        <v>33</v>
      </c>
      <c r="D1616" s="1">
        <v>68763</v>
      </c>
      <c r="E1616" s="1">
        <v>1018161</v>
      </c>
      <c r="F1616" s="2">
        <v>42564</v>
      </c>
    </row>
    <row r="1617" spans="1:6" x14ac:dyDescent="0.35">
      <c r="A1617">
        <v>2017</v>
      </c>
      <c r="B1617" t="s">
        <v>54</v>
      </c>
      <c r="C1617" t="s">
        <v>34</v>
      </c>
      <c r="D1617" s="1">
        <v>23838</v>
      </c>
      <c r="E1617" s="1">
        <v>301165</v>
      </c>
      <c r="F1617" s="2">
        <v>41040</v>
      </c>
    </row>
    <row r="1618" spans="1:6" x14ac:dyDescent="0.35">
      <c r="A1618">
        <v>2017</v>
      </c>
      <c r="B1618" t="s">
        <v>54</v>
      </c>
      <c r="C1618" t="s">
        <v>35</v>
      </c>
      <c r="D1618" s="1">
        <v>26684</v>
      </c>
      <c r="E1618" s="1">
        <v>347515</v>
      </c>
      <c r="F1618" s="2">
        <v>42870</v>
      </c>
    </row>
    <row r="1619" spans="1:6" x14ac:dyDescent="0.35">
      <c r="A1619">
        <v>2017</v>
      </c>
      <c r="B1619" t="s">
        <v>54</v>
      </c>
      <c r="C1619" t="s">
        <v>36</v>
      </c>
      <c r="D1619" s="1">
        <v>75374</v>
      </c>
      <c r="E1619" s="1">
        <v>1115565</v>
      </c>
      <c r="F1619" s="2">
        <v>43972</v>
      </c>
    </row>
    <row r="1620" spans="1:6" x14ac:dyDescent="0.35">
      <c r="A1620">
        <v>2017</v>
      </c>
      <c r="B1620" t="s">
        <v>54</v>
      </c>
      <c r="C1620" t="s">
        <v>37</v>
      </c>
      <c r="D1620" s="1">
        <v>7674</v>
      </c>
      <c r="E1620" s="1">
        <v>76263</v>
      </c>
      <c r="F1620" s="2">
        <v>42503</v>
      </c>
    </row>
    <row r="1621" spans="1:6" x14ac:dyDescent="0.35">
      <c r="A1621">
        <v>2017</v>
      </c>
      <c r="B1621" t="s">
        <v>54</v>
      </c>
      <c r="C1621" t="s">
        <v>38</v>
      </c>
      <c r="D1621" s="1">
        <v>29784</v>
      </c>
      <c r="E1621" s="1">
        <v>395329</v>
      </c>
      <c r="F1621" s="2">
        <v>38973</v>
      </c>
    </row>
    <row r="1622" spans="1:6" x14ac:dyDescent="0.35">
      <c r="A1622">
        <v>2017</v>
      </c>
      <c r="B1622" t="s">
        <v>54</v>
      </c>
      <c r="C1622" t="s">
        <v>39</v>
      </c>
      <c r="D1622" s="1">
        <v>8036</v>
      </c>
      <c r="E1622" s="1">
        <v>86427</v>
      </c>
      <c r="F1622" s="2">
        <v>38278</v>
      </c>
    </row>
    <row r="1623" spans="1:6" x14ac:dyDescent="0.35">
      <c r="A1623">
        <v>2017</v>
      </c>
      <c r="B1623" t="s">
        <v>54</v>
      </c>
      <c r="C1623" t="s">
        <v>40</v>
      </c>
      <c r="D1623" s="1">
        <v>39250</v>
      </c>
      <c r="E1623" s="1">
        <v>618046</v>
      </c>
      <c r="F1623" s="2">
        <v>44773</v>
      </c>
    </row>
    <row r="1624" spans="1:6" x14ac:dyDescent="0.35">
      <c r="A1624">
        <v>2017</v>
      </c>
      <c r="B1624" t="s">
        <v>54</v>
      </c>
      <c r="C1624" t="s">
        <v>41</v>
      </c>
      <c r="D1624" s="1">
        <v>145842</v>
      </c>
      <c r="E1624" s="1">
        <v>2432880</v>
      </c>
      <c r="F1624" s="2">
        <v>50316</v>
      </c>
    </row>
    <row r="1625" spans="1:6" x14ac:dyDescent="0.35">
      <c r="A1625">
        <v>2017</v>
      </c>
      <c r="B1625" t="s">
        <v>54</v>
      </c>
      <c r="C1625" t="s">
        <v>42</v>
      </c>
      <c r="D1625" s="1">
        <v>19048</v>
      </c>
      <c r="E1625" s="1">
        <v>276552</v>
      </c>
      <c r="F1625" s="2">
        <v>42378</v>
      </c>
    </row>
    <row r="1626" spans="1:6" x14ac:dyDescent="0.35">
      <c r="A1626">
        <v>2017</v>
      </c>
      <c r="B1626" t="s">
        <v>54</v>
      </c>
      <c r="C1626" t="s">
        <v>43</v>
      </c>
      <c r="D1626" s="1">
        <v>5138</v>
      </c>
      <c r="E1626" s="1">
        <v>55012</v>
      </c>
      <c r="F1626" s="2">
        <v>38650</v>
      </c>
    </row>
    <row r="1627" spans="1:6" x14ac:dyDescent="0.35">
      <c r="A1627">
        <v>2017</v>
      </c>
      <c r="B1627" t="s">
        <v>54</v>
      </c>
      <c r="C1627" t="s">
        <v>44</v>
      </c>
      <c r="D1627" s="1">
        <v>42996</v>
      </c>
      <c r="E1627" s="1">
        <v>652711</v>
      </c>
      <c r="F1627" s="2">
        <v>42291</v>
      </c>
    </row>
    <row r="1628" spans="1:6" x14ac:dyDescent="0.35">
      <c r="A1628">
        <v>2017</v>
      </c>
      <c r="B1628" t="s">
        <v>54</v>
      </c>
      <c r="C1628" t="s">
        <v>45</v>
      </c>
      <c r="D1628" s="1">
        <v>39715</v>
      </c>
      <c r="E1628" s="1">
        <v>610599</v>
      </c>
      <c r="F1628" s="2">
        <v>58924</v>
      </c>
    </row>
    <row r="1629" spans="1:6" x14ac:dyDescent="0.35">
      <c r="A1629">
        <v>2017</v>
      </c>
      <c r="B1629" t="s">
        <v>54</v>
      </c>
      <c r="C1629" t="s">
        <v>46</v>
      </c>
      <c r="D1629" s="1">
        <v>10925</v>
      </c>
      <c r="E1629" s="1">
        <v>129300</v>
      </c>
      <c r="F1629" s="2">
        <v>37489</v>
      </c>
    </row>
    <row r="1630" spans="1:6" x14ac:dyDescent="0.35">
      <c r="A1630">
        <v>2017</v>
      </c>
      <c r="B1630" t="s">
        <v>54</v>
      </c>
      <c r="C1630" t="s">
        <v>47</v>
      </c>
      <c r="D1630" s="1">
        <v>35433</v>
      </c>
      <c r="E1630" s="1">
        <v>539603</v>
      </c>
      <c r="F1630" s="2">
        <v>39831</v>
      </c>
    </row>
    <row r="1631" spans="1:6" x14ac:dyDescent="0.35">
      <c r="A1631">
        <v>2017</v>
      </c>
      <c r="B1631" t="s">
        <v>54</v>
      </c>
      <c r="C1631" t="s">
        <v>48</v>
      </c>
      <c r="D1631" s="1">
        <v>4822</v>
      </c>
      <c r="E1631" s="1">
        <v>49799</v>
      </c>
      <c r="F1631" s="2">
        <v>40999</v>
      </c>
    </row>
    <row r="1632" spans="1:6" x14ac:dyDescent="0.35">
      <c r="A1632">
        <v>2017</v>
      </c>
      <c r="B1632" t="s">
        <v>53</v>
      </c>
      <c r="C1632" t="s">
        <v>1</v>
      </c>
      <c r="D1632" s="1">
        <v>1969</v>
      </c>
      <c r="E1632" s="1">
        <v>20807</v>
      </c>
      <c r="F1632" s="2">
        <v>58932</v>
      </c>
    </row>
    <row r="1633" spans="1:6" x14ac:dyDescent="0.35">
      <c r="A1633">
        <v>2017</v>
      </c>
      <c r="B1633" t="s">
        <v>53</v>
      </c>
      <c r="C1633" t="s">
        <v>2</v>
      </c>
      <c r="D1633" s="1">
        <v>2461</v>
      </c>
      <c r="E1633" s="1">
        <v>44962</v>
      </c>
      <c r="F1633" s="2">
        <v>71171</v>
      </c>
    </row>
    <row r="1634" spans="1:6" x14ac:dyDescent="0.35">
      <c r="A1634">
        <v>2017</v>
      </c>
      <c r="B1634" t="s">
        <v>53</v>
      </c>
      <c r="C1634" t="s">
        <v>3</v>
      </c>
      <c r="D1634" s="1">
        <v>1123</v>
      </c>
      <c r="E1634" s="1">
        <v>12766</v>
      </c>
      <c r="F1634" s="2">
        <v>56682</v>
      </c>
    </row>
    <row r="1635" spans="1:6" x14ac:dyDescent="0.35">
      <c r="A1635">
        <v>2017</v>
      </c>
      <c r="B1635" t="s">
        <v>53</v>
      </c>
      <c r="C1635" t="s">
        <v>4</v>
      </c>
      <c r="D1635" s="1">
        <v>22519</v>
      </c>
      <c r="E1635" s="1">
        <v>513029</v>
      </c>
      <c r="F1635" s="2">
        <v>172309</v>
      </c>
    </row>
    <row r="1636" spans="1:6" x14ac:dyDescent="0.35">
      <c r="A1636">
        <v>2017</v>
      </c>
      <c r="B1636" t="s">
        <v>53</v>
      </c>
      <c r="C1636" t="s">
        <v>5</v>
      </c>
      <c r="D1636" s="1">
        <v>3891</v>
      </c>
      <c r="E1636" s="1">
        <v>71641</v>
      </c>
      <c r="F1636" s="2">
        <v>100781</v>
      </c>
    </row>
    <row r="1637" spans="1:6" x14ac:dyDescent="0.35">
      <c r="A1637">
        <v>2017</v>
      </c>
      <c r="B1637" t="s">
        <v>53</v>
      </c>
      <c r="C1637" t="s">
        <v>6</v>
      </c>
      <c r="D1637" s="1">
        <v>2146</v>
      </c>
      <c r="E1637" s="1">
        <v>31542</v>
      </c>
      <c r="F1637" s="2">
        <v>103094</v>
      </c>
    </row>
    <row r="1638" spans="1:6" x14ac:dyDescent="0.35">
      <c r="A1638">
        <v>2017</v>
      </c>
      <c r="B1638" t="s">
        <v>53</v>
      </c>
      <c r="C1638" t="s">
        <v>7</v>
      </c>
      <c r="D1638">
        <v>409</v>
      </c>
      <c r="E1638" s="1">
        <v>4560</v>
      </c>
      <c r="F1638" s="2">
        <v>64686</v>
      </c>
    </row>
    <row r="1639" spans="1:6" x14ac:dyDescent="0.35">
      <c r="A1639">
        <v>2017</v>
      </c>
      <c r="B1639" t="s">
        <v>53</v>
      </c>
      <c r="C1639" t="s">
        <v>8</v>
      </c>
      <c r="D1639" s="1">
        <v>10983</v>
      </c>
      <c r="E1639" s="1">
        <v>138039</v>
      </c>
      <c r="F1639" s="2">
        <v>80305</v>
      </c>
    </row>
    <row r="1640" spans="1:6" x14ac:dyDescent="0.35">
      <c r="A1640">
        <v>2017</v>
      </c>
      <c r="B1640" t="s">
        <v>53</v>
      </c>
      <c r="C1640" t="s">
        <v>9</v>
      </c>
      <c r="D1640" s="1">
        <v>4911</v>
      </c>
      <c r="E1640" s="1">
        <v>116074</v>
      </c>
      <c r="F1640" s="2">
        <v>96306</v>
      </c>
    </row>
    <row r="1641" spans="1:6" x14ac:dyDescent="0.35">
      <c r="A1641">
        <v>2017</v>
      </c>
      <c r="B1641" t="s">
        <v>53</v>
      </c>
      <c r="C1641" t="s">
        <v>10</v>
      </c>
      <c r="D1641" s="1">
        <v>1175</v>
      </c>
      <c r="E1641" s="1">
        <v>8923</v>
      </c>
      <c r="F1641" s="2">
        <v>51032</v>
      </c>
    </row>
    <row r="1642" spans="1:6" x14ac:dyDescent="0.35">
      <c r="A1642">
        <v>2017</v>
      </c>
      <c r="B1642" t="s">
        <v>53</v>
      </c>
      <c r="C1642" t="s">
        <v>11</v>
      </c>
      <c r="D1642" s="1">
        <v>6534</v>
      </c>
      <c r="E1642" s="1">
        <v>96181</v>
      </c>
      <c r="F1642" s="2">
        <v>85328</v>
      </c>
    </row>
    <row r="1643" spans="1:6" x14ac:dyDescent="0.35">
      <c r="A1643">
        <v>2017</v>
      </c>
      <c r="B1643" t="s">
        <v>53</v>
      </c>
      <c r="C1643" t="s">
        <v>12</v>
      </c>
      <c r="D1643" s="1">
        <v>2019</v>
      </c>
      <c r="E1643" s="1">
        <v>31465</v>
      </c>
      <c r="F1643" s="2">
        <v>59391</v>
      </c>
    </row>
    <row r="1644" spans="1:6" x14ac:dyDescent="0.35">
      <c r="A1644">
        <v>2017</v>
      </c>
      <c r="B1644" t="s">
        <v>53</v>
      </c>
      <c r="C1644" t="s">
        <v>13</v>
      </c>
      <c r="D1644" s="1">
        <v>1698</v>
      </c>
      <c r="E1644" s="1">
        <v>21891</v>
      </c>
      <c r="F1644" s="2">
        <v>55957</v>
      </c>
    </row>
    <row r="1645" spans="1:6" x14ac:dyDescent="0.35">
      <c r="A1645">
        <v>2017</v>
      </c>
      <c r="B1645" t="s">
        <v>53</v>
      </c>
      <c r="C1645" t="s">
        <v>14</v>
      </c>
      <c r="D1645" s="1">
        <v>1260</v>
      </c>
      <c r="E1645" s="1">
        <v>19279</v>
      </c>
      <c r="F1645" s="2">
        <v>61084</v>
      </c>
    </row>
    <row r="1646" spans="1:6" x14ac:dyDescent="0.35">
      <c r="A1646">
        <v>2017</v>
      </c>
      <c r="B1646" t="s">
        <v>53</v>
      </c>
      <c r="C1646" t="s">
        <v>15</v>
      </c>
      <c r="D1646" s="1">
        <v>1697</v>
      </c>
      <c r="E1646" s="1">
        <v>22698</v>
      </c>
      <c r="F1646" s="2">
        <v>54857</v>
      </c>
    </row>
    <row r="1647" spans="1:6" x14ac:dyDescent="0.35">
      <c r="A1647">
        <v>2017</v>
      </c>
      <c r="B1647" t="s">
        <v>53</v>
      </c>
      <c r="C1647" t="s">
        <v>16</v>
      </c>
      <c r="D1647" s="1">
        <v>1650</v>
      </c>
      <c r="E1647" s="1">
        <v>22941</v>
      </c>
      <c r="F1647" s="2">
        <v>55038</v>
      </c>
    </row>
    <row r="1648" spans="1:6" x14ac:dyDescent="0.35">
      <c r="A1648">
        <v>2017</v>
      </c>
      <c r="B1648" t="s">
        <v>53</v>
      </c>
      <c r="C1648" t="s">
        <v>17</v>
      </c>
      <c r="D1648">
        <v>843</v>
      </c>
      <c r="E1648" s="1">
        <v>7340</v>
      </c>
      <c r="F1648" s="2">
        <v>52561</v>
      </c>
    </row>
    <row r="1649" spans="1:6" x14ac:dyDescent="0.35">
      <c r="A1649">
        <v>2017</v>
      </c>
      <c r="B1649" t="s">
        <v>53</v>
      </c>
      <c r="C1649" t="s">
        <v>18</v>
      </c>
      <c r="D1649" s="1">
        <v>2719</v>
      </c>
      <c r="E1649" s="1">
        <v>37583</v>
      </c>
      <c r="F1649" s="2">
        <v>88009</v>
      </c>
    </row>
    <row r="1650" spans="1:6" x14ac:dyDescent="0.35">
      <c r="A1650">
        <v>2017</v>
      </c>
      <c r="B1650" t="s">
        <v>53</v>
      </c>
      <c r="C1650" t="s">
        <v>19</v>
      </c>
      <c r="D1650" s="1">
        <v>5143</v>
      </c>
      <c r="E1650" s="1">
        <v>91861</v>
      </c>
      <c r="F1650" s="2">
        <v>114166</v>
      </c>
    </row>
    <row r="1651" spans="1:6" x14ac:dyDescent="0.35">
      <c r="A1651">
        <v>2017</v>
      </c>
      <c r="B1651" t="s">
        <v>53</v>
      </c>
      <c r="C1651" t="s">
        <v>20</v>
      </c>
      <c r="D1651" s="1">
        <v>5934</v>
      </c>
      <c r="E1651" s="1">
        <v>56524</v>
      </c>
      <c r="F1651" s="2">
        <v>70884</v>
      </c>
    </row>
    <row r="1652" spans="1:6" x14ac:dyDescent="0.35">
      <c r="A1652">
        <v>2017</v>
      </c>
      <c r="B1652" t="s">
        <v>53</v>
      </c>
      <c r="C1652" t="s">
        <v>21</v>
      </c>
      <c r="D1652" s="1">
        <v>3663</v>
      </c>
      <c r="E1652" s="1">
        <v>50310</v>
      </c>
      <c r="F1652" s="2">
        <v>75459</v>
      </c>
    </row>
    <row r="1653" spans="1:6" x14ac:dyDescent="0.35">
      <c r="A1653">
        <v>2017</v>
      </c>
      <c r="B1653" t="s">
        <v>53</v>
      </c>
      <c r="C1653" t="s">
        <v>22</v>
      </c>
      <c r="D1653">
        <v>962</v>
      </c>
      <c r="E1653" s="1">
        <v>11593</v>
      </c>
      <c r="F1653" s="2">
        <v>48002</v>
      </c>
    </row>
    <row r="1654" spans="1:6" x14ac:dyDescent="0.35">
      <c r="A1654">
        <v>2017</v>
      </c>
      <c r="B1654" t="s">
        <v>53</v>
      </c>
      <c r="C1654" t="s">
        <v>23</v>
      </c>
      <c r="D1654" s="1">
        <v>3051</v>
      </c>
      <c r="E1654" s="1">
        <v>48249</v>
      </c>
      <c r="F1654" s="2">
        <v>73665</v>
      </c>
    </row>
    <row r="1655" spans="1:6" x14ac:dyDescent="0.35">
      <c r="A1655">
        <v>2017</v>
      </c>
      <c r="B1655" t="s">
        <v>53</v>
      </c>
      <c r="C1655" t="s">
        <v>24</v>
      </c>
      <c r="D1655">
        <v>759</v>
      </c>
      <c r="E1655" s="1">
        <v>6394</v>
      </c>
      <c r="F1655" s="2">
        <v>51903</v>
      </c>
    </row>
    <row r="1656" spans="1:6" x14ac:dyDescent="0.35">
      <c r="A1656">
        <v>2017</v>
      </c>
      <c r="B1656" t="s">
        <v>53</v>
      </c>
      <c r="C1656" t="s">
        <v>25</v>
      </c>
      <c r="D1656">
        <v>964</v>
      </c>
      <c r="E1656" s="1">
        <v>18204</v>
      </c>
      <c r="F1656" s="2">
        <v>61365</v>
      </c>
    </row>
    <row r="1657" spans="1:6" x14ac:dyDescent="0.35">
      <c r="A1657">
        <v>2017</v>
      </c>
      <c r="B1657" t="s">
        <v>53</v>
      </c>
      <c r="C1657" t="s">
        <v>26</v>
      </c>
      <c r="D1657" s="1">
        <v>1440</v>
      </c>
      <c r="E1657" s="1">
        <v>14735</v>
      </c>
      <c r="F1657" s="2">
        <v>65866</v>
      </c>
    </row>
    <row r="1658" spans="1:6" x14ac:dyDescent="0.35">
      <c r="A1658">
        <v>2017</v>
      </c>
      <c r="B1658" t="s">
        <v>53</v>
      </c>
      <c r="C1658" t="s">
        <v>27</v>
      </c>
      <c r="D1658">
        <v>843</v>
      </c>
      <c r="E1658" s="1">
        <v>12554</v>
      </c>
      <c r="F1658" s="2">
        <v>88119</v>
      </c>
    </row>
    <row r="1659" spans="1:6" x14ac:dyDescent="0.35">
      <c r="A1659">
        <v>2017</v>
      </c>
      <c r="B1659" t="s">
        <v>53</v>
      </c>
      <c r="C1659" t="s">
        <v>28</v>
      </c>
      <c r="D1659" s="1">
        <v>3595</v>
      </c>
      <c r="E1659" s="1">
        <v>70379</v>
      </c>
      <c r="F1659" s="2">
        <v>108638</v>
      </c>
    </row>
    <row r="1660" spans="1:6" x14ac:dyDescent="0.35">
      <c r="A1660">
        <v>2017</v>
      </c>
      <c r="B1660" t="s">
        <v>53</v>
      </c>
      <c r="C1660" t="s">
        <v>29</v>
      </c>
      <c r="D1660">
        <v>929</v>
      </c>
      <c r="E1660" s="1">
        <v>12398</v>
      </c>
      <c r="F1660" s="2">
        <v>51009</v>
      </c>
    </row>
    <row r="1661" spans="1:6" x14ac:dyDescent="0.35">
      <c r="A1661">
        <v>2017</v>
      </c>
      <c r="B1661" t="s">
        <v>53</v>
      </c>
      <c r="C1661" t="s">
        <v>30</v>
      </c>
      <c r="D1661" s="1">
        <v>12397</v>
      </c>
      <c r="E1661" s="1">
        <v>269233</v>
      </c>
      <c r="F1661" s="2">
        <v>119508</v>
      </c>
    </row>
    <row r="1662" spans="1:6" x14ac:dyDescent="0.35">
      <c r="A1662">
        <v>2017</v>
      </c>
      <c r="B1662" t="s">
        <v>53</v>
      </c>
      <c r="C1662" t="s">
        <v>31</v>
      </c>
      <c r="D1662" s="1">
        <v>5042</v>
      </c>
      <c r="E1662" s="1">
        <v>78826</v>
      </c>
      <c r="F1662" s="2">
        <v>80496</v>
      </c>
    </row>
    <row r="1663" spans="1:6" x14ac:dyDescent="0.35">
      <c r="A1663">
        <v>2017</v>
      </c>
      <c r="B1663" t="s">
        <v>53</v>
      </c>
      <c r="C1663" t="s">
        <v>32</v>
      </c>
      <c r="D1663">
        <v>396</v>
      </c>
      <c r="E1663" s="1">
        <v>6502</v>
      </c>
      <c r="F1663" s="2">
        <v>65114</v>
      </c>
    </row>
    <row r="1664" spans="1:6" x14ac:dyDescent="0.35">
      <c r="A1664">
        <v>2017</v>
      </c>
      <c r="B1664" t="s">
        <v>53</v>
      </c>
      <c r="C1664" t="s">
        <v>33</v>
      </c>
      <c r="D1664" s="1">
        <v>4456</v>
      </c>
      <c r="E1664" s="1">
        <v>71562</v>
      </c>
      <c r="F1664" s="2">
        <v>67912</v>
      </c>
    </row>
    <row r="1665" spans="1:6" x14ac:dyDescent="0.35">
      <c r="A1665">
        <v>2017</v>
      </c>
      <c r="B1665" t="s">
        <v>53</v>
      </c>
      <c r="C1665" t="s">
        <v>34</v>
      </c>
      <c r="D1665" s="1">
        <v>1491</v>
      </c>
      <c r="E1665" s="1">
        <v>20417</v>
      </c>
      <c r="F1665" s="2">
        <v>57922</v>
      </c>
    </row>
    <row r="1666" spans="1:6" x14ac:dyDescent="0.35">
      <c r="A1666">
        <v>2017</v>
      </c>
      <c r="B1666" t="s">
        <v>53</v>
      </c>
      <c r="C1666" t="s">
        <v>35</v>
      </c>
      <c r="D1666" s="1">
        <v>3521</v>
      </c>
      <c r="E1666" s="1">
        <v>34177</v>
      </c>
      <c r="F1666" s="2">
        <v>80210</v>
      </c>
    </row>
    <row r="1667" spans="1:6" x14ac:dyDescent="0.35">
      <c r="A1667">
        <v>2017</v>
      </c>
      <c r="B1667" t="s">
        <v>53</v>
      </c>
      <c r="C1667" t="s">
        <v>36</v>
      </c>
      <c r="D1667" s="1">
        <v>4664</v>
      </c>
      <c r="E1667" s="1">
        <v>83352</v>
      </c>
      <c r="F1667" s="2">
        <v>78987</v>
      </c>
    </row>
    <row r="1668" spans="1:6" x14ac:dyDescent="0.35">
      <c r="A1668">
        <v>2017</v>
      </c>
      <c r="B1668" t="s">
        <v>53</v>
      </c>
      <c r="C1668" t="s">
        <v>37</v>
      </c>
      <c r="D1668">
        <v>745</v>
      </c>
      <c r="E1668" s="1">
        <v>6125</v>
      </c>
      <c r="F1668" s="2">
        <v>70660</v>
      </c>
    </row>
    <row r="1669" spans="1:6" x14ac:dyDescent="0.35">
      <c r="A1669">
        <v>2017</v>
      </c>
      <c r="B1669" t="s">
        <v>53</v>
      </c>
      <c r="C1669" t="s">
        <v>38</v>
      </c>
      <c r="D1669" s="1">
        <v>2430</v>
      </c>
      <c r="E1669" s="1">
        <v>27428</v>
      </c>
      <c r="F1669" s="2">
        <v>61428</v>
      </c>
    </row>
    <row r="1670" spans="1:6" x14ac:dyDescent="0.35">
      <c r="A1670">
        <v>2017</v>
      </c>
      <c r="B1670" t="s">
        <v>53</v>
      </c>
      <c r="C1670" t="s">
        <v>39</v>
      </c>
      <c r="D1670">
        <v>561</v>
      </c>
      <c r="E1670" s="1">
        <v>5720</v>
      </c>
      <c r="F1670" s="2">
        <v>47231</v>
      </c>
    </row>
    <row r="1671" spans="1:6" x14ac:dyDescent="0.35">
      <c r="A1671">
        <v>2017</v>
      </c>
      <c r="B1671" t="s">
        <v>53</v>
      </c>
      <c r="C1671" t="s">
        <v>40</v>
      </c>
      <c r="D1671" s="1">
        <v>3260</v>
      </c>
      <c r="E1671" s="1">
        <v>45482</v>
      </c>
      <c r="F1671" s="2">
        <v>68381</v>
      </c>
    </row>
    <row r="1672" spans="1:6" x14ac:dyDescent="0.35">
      <c r="A1672">
        <v>2017</v>
      </c>
      <c r="B1672" t="s">
        <v>53</v>
      </c>
      <c r="C1672" t="s">
        <v>41</v>
      </c>
      <c r="D1672" s="1">
        <v>9521</v>
      </c>
      <c r="E1672" s="1">
        <v>201873</v>
      </c>
      <c r="F1672" s="2">
        <v>84394</v>
      </c>
    </row>
    <row r="1673" spans="1:6" x14ac:dyDescent="0.35">
      <c r="A1673">
        <v>2017</v>
      </c>
      <c r="B1673" t="s">
        <v>53</v>
      </c>
      <c r="C1673" t="s">
        <v>42</v>
      </c>
      <c r="D1673" s="1">
        <v>2347</v>
      </c>
      <c r="E1673" s="1">
        <v>37185</v>
      </c>
      <c r="F1673" s="2">
        <v>71167</v>
      </c>
    </row>
    <row r="1674" spans="1:6" x14ac:dyDescent="0.35">
      <c r="A1674">
        <v>2017</v>
      </c>
      <c r="B1674" t="s">
        <v>53</v>
      </c>
      <c r="C1674" t="s">
        <v>43</v>
      </c>
      <c r="D1674">
        <v>503</v>
      </c>
      <c r="E1674" s="1">
        <v>4478</v>
      </c>
      <c r="F1674" s="2">
        <v>58372</v>
      </c>
    </row>
    <row r="1675" spans="1:6" x14ac:dyDescent="0.35">
      <c r="A1675">
        <v>2017</v>
      </c>
      <c r="B1675" t="s">
        <v>53</v>
      </c>
      <c r="C1675" t="s">
        <v>44</v>
      </c>
      <c r="D1675" s="1">
        <v>4222</v>
      </c>
      <c r="E1675" s="1">
        <v>67623</v>
      </c>
      <c r="F1675" s="2">
        <v>98219</v>
      </c>
    </row>
    <row r="1676" spans="1:6" x14ac:dyDescent="0.35">
      <c r="A1676">
        <v>2017</v>
      </c>
      <c r="B1676" t="s">
        <v>53</v>
      </c>
      <c r="C1676" t="s">
        <v>45</v>
      </c>
      <c r="D1676" s="1">
        <v>4271</v>
      </c>
      <c r="E1676" s="1">
        <v>125798</v>
      </c>
      <c r="F1676" s="2">
        <v>172513</v>
      </c>
    </row>
    <row r="1677" spans="1:6" x14ac:dyDescent="0.35">
      <c r="A1677">
        <v>2017</v>
      </c>
      <c r="B1677" t="s">
        <v>53</v>
      </c>
      <c r="C1677" t="s">
        <v>46</v>
      </c>
      <c r="D1677">
        <v>764</v>
      </c>
      <c r="E1677" s="1">
        <v>8615</v>
      </c>
      <c r="F1677" s="2">
        <v>50474</v>
      </c>
    </row>
    <row r="1678" spans="1:6" x14ac:dyDescent="0.35">
      <c r="A1678">
        <v>2017</v>
      </c>
      <c r="B1678" t="s">
        <v>53</v>
      </c>
      <c r="C1678" t="s">
        <v>47</v>
      </c>
      <c r="D1678" s="1">
        <v>2126</v>
      </c>
      <c r="E1678" s="1">
        <v>47658</v>
      </c>
      <c r="F1678" s="2">
        <v>71912</v>
      </c>
    </row>
    <row r="1679" spans="1:6" x14ac:dyDescent="0.35">
      <c r="A1679">
        <v>2017</v>
      </c>
      <c r="B1679" t="s">
        <v>53</v>
      </c>
      <c r="C1679" t="s">
        <v>48</v>
      </c>
      <c r="D1679">
        <v>389</v>
      </c>
      <c r="E1679" s="1">
        <v>3680</v>
      </c>
      <c r="F1679" s="2">
        <v>46375</v>
      </c>
    </row>
    <row r="1680" spans="1:6" x14ac:dyDescent="0.35">
      <c r="A1680">
        <v>2017</v>
      </c>
      <c r="B1680" t="s">
        <v>56</v>
      </c>
      <c r="C1680" t="s">
        <v>1</v>
      </c>
      <c r="D1680" s="1">
        <v>13089</v>
      </c>
      <c r="E1680" s="1">
        <v>94756</v>
      </c>
      <c r="F1680" s="2">
        <v>66324</v>
      </c>
    </row>
    <row r="1681" spans="1:6" x14ac:dyDescent="0.35">
      <c r="A1681">
        <v>2017</v>
      </c>
      <c r="B1681" t="s">
        <v>56</v>
      </c>
      <c r="C1681" t="s">
        <v>2</v>
      </c>
      <c r="D1681" s="1">
        <v>15754</v>
      </c>
      <c r="E1681" s="1">
        <v>206540</v>
      </c>
      <c r="F1681" s="2">
        <v>68059</v>
      </c>
    </row>
    <row r="1682" spans="1:6" x14ac:dyDescent="0.35">
      <c r="A1682">
        <v>2017</v>
      </c>
      <c r="B1682" t="s">
        <v>56</v>
      </c>
      <c r="C1682" t="s">
        <v>3</v>
      </c>
      <c r="D1682" s="1">
        <v>8251</v>
      </c>
      <c r="E1682" s="1">
        <v>49596</v>
      </c>
      <c r="F1682" s="2">
        <v>55939</v>
      </c>
    </row>
    <row r="1683" spans="1:6" x14ac:dyDescent="0.35">
      <c r="A1683">
        <v>2017</v>
      </c>
      <c r="B1683" t="s">
        <v>56</v>
      </c>
      <c r="C1683" t="s">
        <v>4</v>
      </c>
      <c r="D1683" s="1">
        <v>98024</v>
      </c>
      <c r="E1683" s="1">
        <v>827494</v>
      </c>
      <c r="F1683" s="2">
        <v>104466</v>
      </c>
    </row>
    <row r="1684" spans="1:6" x14ac:dyDescent="0.35">
      <c r="A1684">
        <v>2017</v>
      </c>
      <c r="B1684" t="s">
        <v>56</v>
      </c>
      <c r="C1684" t="s">
        <v>5</v>
      </c>
      <c r="D1684" s="1">
        <v>22552</v>
      </c>
      <c r="E1684" s="1">
        <v>161870</v>
      </c>
      <c r="F1684" s="2">
        <v>81536</v>
      </c>
    </row>
    <row r="1685" spans="1:6" x14ac:dyDescent="0.35">
      <c r="A1685">
        <v>2017</v>
      </c>
      <c r="B1685" t="s">
        <v>56</v>
      </c>
      <c r="C1685" t="s">
        <v>6</v>
      </c>
      <c r="D1685" s="1">
        <v>10779</v>
      </c>
      <c r="E1685" s="1">
        <v>126051</v>
      </c>
      <c r="F1685" s="2">
        <v>152598</v>
      </c>
    </row>
    <row r="1686" spans="1:6" x14ac:dyDescent="0.35">
      <c r="A1686">
        <v>2017</v>
      </c>
      <c r="B1686" t="s">
        <v>56</v>
      </c>
      <c r="C1686" t="s">
        <v>7</v>
      </c>
      <c r="D1686" s="1">
        <v>2800</v>
      </c>
      <c r="E1686" s="1">
        <v>47894</v>
      </c>
      <c r="F1686" s="2">
        <v>92267</v>
      </c>
    </row>
    <row r="1687" spans="1:6" x14ac:dyDescent="0.35">
      <c r="A1687">
        <v>2017</v>
      </c>
      <c r="B1687" t="s">
        <v>56</v>
      </c>
      <c r="C1687" t="s">
        <v>8</v>
      </c>
      <c r="D1687" s="1">
        <v>71616</v>
      </c>
      <c r="E1687" s="1">
        <v>556510</v>
      </c>
      <c r="F1687" s="2">
        <v>72708</v>
      </c>
    </row>
    <row r="1688" spans="1:6" x14ac:dyDescent="0.35">
      <c r="A1688">
        <v>2017</v>
      </c>
      <c r="B1688" t="s">
        <v>56</v>
      </c>
      <c r="C1688" t="s">
        <v>9</v>
      </c>
      <c r="D1688" s="1">
        <v>25978</v>
      </c>
      <c r="E1688" s="1">
        <v>233995</v>
      </c>
      <c r="F1688" s="2">
        <v>81197</v>
      </c>
    </row>
    <row r="1689" spans="1:6" x14ac:dyDescent="0.35">
      <c r="A1689">
        <v>2017</v>
      </c>
      <c r="B1689" t="s">
        <v>56</v>
      </c>
      <c r="C1689" t="s">
        <v>10</v>
      </c>
      <c r="D1689" s="1">
        <v>5522</v>
      </c>
      <c r="E1689" s="1">
        <v>31064</v>
      </c>
      <c r="F1689" s="2">
        <v>53820</v>
      </c>
    </row>
    <row r="1690" spans="1:6" x14ac:dyDescent="0.35">
      <c r="A1690">
        <v>2017</v>
      </c>
      <c r="B1690" t="s">
        <v>56</v>
      </c>
      <c r="C1690" t="s">
        <v>11</v>
      </c>
      <c r="D1690" s="1">
        <v>32114</v>
      </c>
      <c r="E1690" s="1">
        <v>370517</v>
      </c>
      <c r="F1690" s="2">
        <v>104689</v>
      </c>
    </row>
    <row r="1691" spans="1:6" x14ac:dyDescent="0.35">
      <c r="A1691">
        <v>2017</v>
      </c>
      <c r="B1691" t="s">
        <v>56</v>
      </c>
      <c r="C1691" t="s">
        <v>12</v>
      </c>
      <c r="D1691" s="1">
        <v>16124</v>
      </c>
      <c r="E1691" s="1">
        <v>131758</v>
      </c>
      <c r="F1691" s="2">
        <v>62518</v>
      </c>
    </row>
    <row r="1692" spans="1:6" x14ac:dyDescent="0.35">
      <c r="A1692">
        <v>2017</v>
      </c>
      <c r="B1692" t="s">
        <v>56</v>
      </c>
      <c r="C1692" t="s">
        <v>13</v>
      </c>
      <c r="D1692" s="1">
        <v>9983</v>
      </c>
      <c r="E1692" s="1">
        <v>108983</v>
      </c>
      <c r="F1692" s="2">
        <v>71597</v>
      </c>
    </row>
    <row r="1693" spans="1:6" x14ac:dyDescent="0.35">
      <c r="A1693">
        <v>2017</v>
      </c>
      <c r="B1693" t="s">
        <v>56</v>
      </c>
      <c r="C1693" t="s">
        <v>14</v>
      </c>
      <c r="D1693" s="1">
        <v>8858</v>
      </c>
      <c r="E1693" s="1">
        <v>74321</v>
      </c>
      <c r="F1693" s="2">
        <v>65845</v>
      </c>
    </row>
    <row r="1694" spans="1:6" x14ac:dyDescent="0.35">
      <c r="A1694">
        <v>2017</v>
      </c>
      <c r="B1694" t="s">
        <v>56</v>
      </c>
      <c r="C1694" t="s">
        <v>15</v>
      </c>
      <c r="D1694" s="1">
        <v>10845</v>
      </c>
      <c r="E1694" s="1">
        <v>93126</v>
      </c>
      <c r="F1694" s="2">
        <v>64967</v>
      </c>
    </row>
    <row r="1695" spans="1:6" x14ac:dyDescent="0.35">
      <c r="A1695">
        <v>2017</v>
      </c>
      <c r="B1695" t="s">
        <v>56</v>
      </c>
      <c r="C1695" t="s">
        <v>16</v>
      </c>
      <c r="D1695" s="1">
        <v>13618</v>
      </c>
      <c r="E1695" s="1">
        <v>85771</v>
      </c>
      <c r="F1695" s="2">
        <v>59758</v>
      </c>
    </row>
    <row r="1696" spans="1:6" x14ac:dyDescent="0.35">
      <c r="A1696">
        <v>2017</v>
      </c>
      <c r="B1696" t="s">
        <v>56</v>
      </c>
      <c r="C1696" t="s">
        <v>17</v>
      </c>
      <c r="D1696" s="1">
        <v>3827</v>
      </c>
      <c r="E1696" s="1">
        <v>29417</v>
      </c>
      <c r="F1696" s="2">
        <v>65934</v>
      </c>
    </row>
    <row r="1697" spans="1:6" x14ac:dyDescent="0.35">
      <c r="A1697">
        <v>2017</v>
      </c>
      <c r="B1697" t="s">
        <v>56</v>
      </c>
      <c r="C1697" t="s">
        <v>18</v>
      </c>
      <c r="D1697" s="1">
        <v>15099</v>
      </c>
      <c r="E1697" s="1">
        <v>140287</v>
      </c>
      <c r="F1697" s="2">
        <v>90791</v>
      </c>
    </row>
    <row r="1698" spans="1:6" x14ac:dyDescent="0.35">
      <c r="A1698">
        <v>2017</v>
      </c>
      <c r="B1698" t="s">
        <v>56</v>
      </c>
      <c r="C1698" t="s">
        <v>19</v>
      </c>
      <c r="D1698" s="1">
        <v>17270</v>
      </c>
      <c r="E1698" s="1">
        <v>216567</v>
      </c>
      <c r="F1698" s="2">
        <v>136040</v>
      </c>
    </row>
    <row r="1699" spans="1:6" x14ac:dyDescent="0.35">
      <c r="A1699">
        <v>2017</v>
      </c>
      <c r="B1699" t="s">
        <v>56</v>
      </c>
      <c r="C1699" t="s">
        <v>20</v>
      </c>
      <c r="D1699" s="1">
        <v>18942</v>
      </c>
      <c r="E1699" s="1">
        <v>202358</v>
      </c>
      <c r="F1699" s="2">
        <v>69275</v>
      </c>
    </row>
    <row r="1700" spans="1:6" x14ac:dyDescent="0.35">
      <c r="A1700">
        <v>2017</v>
      </c>
      <c r="B1700" t="s">
        <v>56</v>
      </c>
      <c r="C1700" t="s">
        <v>21</v>
      </c>
      <c r="D1700" s="1">
        <v>15467</v>
      </c>
      <c r="E1700" s="1">
        <v>175945</v>
      </c>
      <c r="F1700" s="2">
        <v>91036</v>
      </c>
    </row>
    <row r="1701" spans="1:6" x14ac:dyDescent="0.35">
      <c r="A1701">
        <v>2017</v>
      </c>
      <c r="B1701" t="s">
        <v>56</v>
      </c>
      <c r="C1701" t="s">
        <v>22</v>
      </c>
      <c r="D1701" s="1">
        <v>7854</v>
      </c>
      <c r="E1701" s="1">
        <v>42981</v>
      </c>
      <c r="F1701" s="2">
        <v>51222</v>
      </c>
    </row>
    <row r="1702" spans="1:6" x14ac:dyDescent="0.35">
      <c r="A1702">
        <v>2017</v>
      </c>
      <c r="B1702" t="s">
        <v>56</v>
      </c>
      <c r="C1702" t="s">
        <v>23</v>
      </c>
      <c r="D1702" s="1">
        <v>17661</v>
      </c>
      <c r="E1702" s="1">
        <v>163353</v>
      </c>
      <c r="F1702" s="2">
        <v>68974</v>
      </c>
    </row>
    <row r="1703" spans="1:6" x14ac:dyDescent="0.35">
      <c r="A1703">
        <v>2017</v>
      </c>
      <c r="B1703" t="s">
        <v>56</v>
      </c>
      <c r="C1703" t="s">
        <v>24</v>
      </c>
      <c r="D1703" s="1">
        <v>4178</v>
      </c>
      <c r="E1703" s="1">
        <v>20935</v>
      </c>
      <c r="F1703" s="2">
        <v>56708</v>
      </c>
    </row>
    <row r="1704" spans="1:6" x14ac:dyDescent="0.35">
      <c r="A1704">
        <v>2017</v>
      </c>
      <c r="B1704" t="s">
        <v>56</v>
      </c>
      <c r="C1704" t="s">
        <v>25</v>
      </c>
      <c r="D1704" s="1">
        <v>6481</v>
      </c>
      <c r="E1704" s="1">
        <v>66237</v>
      </c>
      <c r="F1704" s="2">
        <v>63484</v>
      </c>
    </row>
    <row r="1705" spans="1:6" x14ac:dyDescent="0.35">
      <c r="A1705">
        <v>2017</v>
      </c>
      <c r="B1705" t="s">
        <v>56</v>
      </c>
      <c r="C1705" t="s">
        <v>26</v>
      </c>
      <c r="D1705" s="1">
        <v>8856</v>
      </c>
      <c r="E1705" s="1">
        <v>61375</v>
      </c>
      <c r="F1705" s="2">
        <v>63979</v>
      </c>
    </row>
    <row r="1706" spans="1:6" x14ac:dyDescent="0.35">
      <c r="A1706">
        <v>2017</v>
      </c>
      <c r="B1706" t="s">
        <v>56</v>
      </c>
      <c r="C1706" t="s">
        <v>27</v>
      </c>
      <c r="D1706" s="1">
        <v>3835</v>
      </c>
      <c r="E1706" s="1">
        <v>33894</v>
      </c>
      <c r="F1706" s="2">
        <v>91139</v>
      </c>
    </row>
    <row r="1707" spans="1:6" x14ac:dyDescent="0.35">
      <c r="A1707">
        <v>2017</v>
      </c>
      <c r="B1707" t="s">
        <v>56</v>
      </c>
      <c r="C1707" t="s">
        <v>28</v>
      </c>
      <c r="D1707" s="1">
        <v>19625</v>
      </c>
      <c r="E1707" s="1">
        <v>241026</v>
      </c>
      <c r="F1707" s="2">
        <v>111862</v>
      </c>
    </row>
    <row r="1708" spans="1:6" x14ac:dyDescent="0.35">
      <c r="A1708">
        <v>2017</v>
      </c>
      <c r="B1708" t="s">
        <v>56</v>
      </c>
      <c r="C1708" t="s">
        <v>29</v>
      </c>
      <c r="D1708" s="1">
        <v>5092</v>
      </c>
      <c r="E1708" s="1">
        <v>32604</v>
      </c>
      <c r="F1708" s="2">
        <v>53932</v>
      </c>
    </row>
    <row r="1709" spans="1:6" x14ac:dyDescent="0.35">
      <c r="A1709">
        <v>2017</v>
      </c>
      <c r="B1709" t="s">
        <v>56</v>
      </c>
      <c r="C1709" t="s">
        <v>30</v>
      </c>
      <c r="D1709" s="1">
        <v>65326</v>
      </c>
      <c r="E1709" s="1">
        <v>708995</v>
      </c>
      <c r="F1709" s="2">
        <v>189559</v>
      </c>
    </row>
    <row r="1710" spans="1:6" x14ac:dyDescent="0.35">
      <c r="A1710">
        <v>2017</v>
      </c>
      <c r="B1710" t="s">
        <v>56</v>
      </c>
      <c r="C1710" t="s">
        <v>31</v>
      </c>
      <c r="D1710" s="1">
        <v>27332</v>
      </c>
      <c r="E1710" s="1">
        <v>226679</v>
      </c>
      <c r="F1710" s="2">
        <v>82975</v>
      </c>
    </row>
    <row r="1711" spans="1:6" x14ac:dyDescent="0.35">
      <c r="A1711">
        <v>2017</v>
      </c>
      <c r="B1711" t="s">
        <v>56</v>
      </c>
      <c r="C1711" t="s">
        <v>32</v>
      </c>
      <c r="D1711" s="1">
        <v>2979</v>
      </c>
      <c r="E1711" s="1">
        <v>23135</v>
      </c>
      <c r="F1711" s="2">
        <v>60044</v>
      </c>
    </row>
    <row r="1712" spans="1:6" x14ac:dyDescent="0.35">
      <c r="A1712">
        <v>2017</v>
      </c>
      <c r="B1712" t="s">
        <v>56</v>
      </c>
      <c r="C1712" t="s">
        <v>33</v>
      </c>
      <c r="D1712" s="1">
        <v>28537</v>
      </c>
      <c r="E1712" s="1">
        <v>288615</v>
      </c>
      <c r="F1712" s="2">
        <v>69967</v>
      </c>
    </row>
    <row r="1713" spans="1:6" x14ac:dyDescent="0.35">
      <c r="A1713">
        <v>2017</v>
      </c>
      <c r="B1713" t="s">
        <v>56</v>
      </c>
      <c r="C1713" t="s">
        <v>34</v>
      </c>
      <c r="D1713" s="1">
        <v>11379</v>
      </c>
      <c r="E1713" s="1">
        <v>76757</v>
      </c>
      <c r="F1713" s="2">
        <v>56323</v>
      </c>
    </row>
    <row r="1714" spans="1:6" x14ac:dyDescent="0.35">
      <c r="A1714">
        <v>2017</v>
      </c>
      <c r="B1714" t="s">
        <v>56</v>
      </c>
      <c r="C1714" t="s">
        <v>35</v>
      </c>
      <c r="D1714" s="1">
        <v>12686</v>
      </c>
      <c r="E1714" s="1">
        <v>83715</v>
      </c>
      <c r="F1714" s="2">
        <v>67638</v>
      </c>
    </row>
    <row r="1715" spans="1:6" x14ac:dyDescent="0.35">
      <c r="A1715">
        <v>2017</v>
      </c>
      <c r="B1715" t="s">
        <v>56</v>
      </c>
      <c r="C1715" t="s">
        <v>36</v>
      </c>
      <c r="D1715" s="1">
        <v>28479</v>
      </c>
      <c r="E1715" s="1">
        <v>321121</v>
      </c>
      <c r="F1715" s="2">
        <v>85405</v>
      </c>
    </row>
    <row r="1716" spans="1:6" x14ac:dyDescent="0.35">
      <c r="A1716">
        <v>2017</v>
      </c>
      <c r="B1716" t="s">
        <v>56</v>
      </c>
      <c r="C1716" t="s">
        <v>37</v>
      </c>
      <c r="D1716" s="1">
        <v>2802</v>
      </c>
      <c r="E1716" s="1">
        <v>32758</v>
      </c>
      <c r="F1716" s="2">
        <v>89570</v>
      </c>
    </row>
    <row r="1717" spans="1:6" x14ac:dyDescent="0.35">
      <c r="A1717">
        <v>2017</v>
      </c>
      <c r="B1717" t="s">
        <v>56</v>
      </c>
      <c r="C1717" t="s">
        <v>38</v>
      </c>
      <c r="D1717" s="1">
        <v>12653</v>
      </c>
      <c r="E1717" s="1">
        <v>98790</v>
      </c>
      <c r="F1717" s="2">
        <v>59859</v>
      </c>
    </row>
    <row r="1718" spans="1:6" x14ac:dyDescent="0.35">
      <c r="A1718">
        <v>2017</v>
      </c>
      <c r="B1718" t="s">
        <v>56</v>
      </c>
      <c r="C1718" t="s">
        <v>39</v>
      </c>
      <c r="D1718" s="1">
        <v>3221</v>
      </c>
      <c r="E1718" s="1">
        <v>28761</v>
      </c>
      <c r="F1718" s="2">
        <v>57506</v>
      </c>
    </row>
    <row r="1719" spans="1:6" x14ac:dyDescent="0.35">
      <c r="A1719">
        <v>2017</v>
      </c>
      <c r="B1719" t="s">
        <v>56</v>
      </c>
      <c r="C1719" t="s">
        <v>40</v>
      </c>
      <c r="D1719" s="1">
        <v>15531</v>
      </c>
      <c r="E1719" s="1">
        <v>148433</v>
      </c>
      <c r="F1719" s="2">
        <v>71601</v>
      </c>
    </row>
    <row r="1720" spans="1:6" x14ac:dyDescent="0.35">
      <c r="A1720">
        <v>2017</v>
      </c>
      <c r="B1720" t="s">
        <v>56</v>
      </c>
      <c r="C1720" t="s">
        <v>41</v>
      </c>
      <c r="D1720" s="1">
        <v>71279</v>
      </c>
      <c r="E1720" s="1">
        <v>740328</v>
      </c>
      <c r="F1720" s="2">
        <v>80242</v>
      </c>
    </row>
    <row r="1721" spans="1:6" x14ac:dyDescent="0.35">
      <c r="A1721">
        <v>2017</v>
      </c>
      <c r="B1721" t="s">
        <v>56</v>
      </c>
      <c r="C1721" t="s">
        <v>42</v>
      </c>
      <c r="D1721" s="1">
        <v>11066</v>
      </c>
      <c r="E1721" s="1">
        <v>84072</v>
      </c>
      <c r="F1721" s="2">
        <v>64760</v>
      </c>
    </row>
    <row r="1722" spans="1:6" x14ac:dyDescent="0.35">
      <c r="A1722">
        <v>2017</v>
      </c>
      <c r="B1722" t="s">
        <v>56</v>
      </c>
      <c r="C1722" t="s">
        <v>43</v>
      </c>
      <c r="D1722" s="1">
        <v>1700</v>
      </c>
      <c r="E1722" s="1">
        <v>11731</v>
      </c>
      <c r="F1722" s="2">
        <v>70768</v>
      </c>
    </row>
    <row r="1723" spans="1:6" x14ac:dyDescent="0.35">
      <c r="A1723">
        <v>2017</v>
      </c>
      <c r="B1723" t="s">
        <v>56</v>
      </c>
      <c r="C1723" t="s">
        <v>44</v>
      </c>
      <c r="D1723" s="1">
        <v>21609</v>
      </c>
      <c r="E1723" s="1">
        <v>192079</v>
      </c>
      <c r="F1723" s="2">
        <v>82201</v>
      </c>
    </row>
    <row r="1724" spans="1:6" x14ac:dyDescent="0.35">
      <c r="A1724">
        <v>2017</v>
      </c>
      <c r="B1724" t="s">
        <v>56</v>
      </c>
      <c r="C1724" t="s">
        <v>45</v>
      </c>
      <c r="D1724" s="1">
        <v>17184</v>
      </c>
      <c r="E1724" s="1">
        <v>144458</v>
      </c>
      <c r="F1724" s="2">
        <v>76957</v>
      </c>
    </row>
    <row r="1725" spans="1:6" x14ac:dyDescent="0.35">
      <c r="A1725">
        <v>2017</v>
      </c>
      <c r="B1725" t="s">
        <v>56</v>
      </c>
      <c r="C1725" t="s">
        <v>46</v>
      </c>
      <c r="D1725" s="1">
        <v>3992</v>
      </c>
      <c r="E1725" s="1">
        <v>24123</v>
      </c>
      <c r="F1725" s="2">
        <v>50354</v>
      </c>
    </row>
    <row r="1726" spans="1:6" x14ac:dyDescent="0.35">
      <c r="A1726">
        <v>2017</v>
      </c>
      <c r="B1726" t="s">
        <v>56</v>
      </c>
      <c r="C1726" t="s">
        <v>47</v>
      </c>
      <c r="D1726" s="1">
        <v>13244</v>
      </c>
      <c r="E1726" s="1">
        <v>148873</v>
      </c>
      <c r="F1726" s="2">
        <v>68759</v>
      </c>
    </row>
    <row r="1727" spans="1:6" x14ac:dyDescent="0.35">
      <c r="A1727">
        <v>2017</v>
      </c>
      <c r="B1727" t="s">
        <v>56</v>
      </c>
      <c r="C1727" t="s">
        <v>48</v>
      </c>
      <c r="D1727" s="1">
        <v>2248</v>
      </c>
      <c r="E1727" s="1">
        <v>10938</v>
      </c>
      <c r="F1727" s="2">
        <v>54692</v>
      </c>
    </row>
    <row r="1728" spans="1:6" x14ac:dyDescent="0.35">
      <c r="A1728">
        <v>2017</v>
      </c>
      <c r="B1728" t="s">
        <v>57</v>
      </c>
      <c r="C1728" t="s">
        <v>1</v>
      </c>
      <c r="D1728" s="1">
        <v>21426</v>
      </c>
      <c r="E1728" s="1">
        <v>239356</v>
      </c>
      <c r="F1728" s="2">
        <v>53774</v>
      </c>
    </row>
    <row r="1729" spans="1:6" x14ac:dyDescent="0.35">
      <c r="A1729">
        <v>2017</v>
      </c>
      <c r="B1729" t="s">
        <v>57</v>
      </c>
      <c r="C1729" t="s">
        <v>2</v>
      </c>
      <c r="D1729" s="1">
        <v>31059</v>
      </c>
      <c r="E1729" s="1">
        <v>417456</v>
      </c>
      <c r="F1729" s="2">
        <v>55334</v>
      </c>
    </row>
    <row r="1730" spans="1:6" x14ac:dyDescent="0.35">
      <c r="A1730">
        <v>2017</v>
      </c>
      <c r="B1730" t="s">
        <v>57</v>
      </c>
      <c r="C1730" t="s">
        <v>3</v>
      </c>
      <c r="D1730" s="1">
        <v>13845</v>
      </c>
      <c r="E1730" s="1">
        <v>144215</v>
      </c>
      <c r="F1730" s="2">
        <v>59263</v>
      </c>
    </row>
    <row r="1731" spans="1:6" x14ac:dyDescent="0.35">
      <c r="A1731">
        <v>2017</v>
      </c>
      <c r="B1731" t="s">
        <v>57</v>
      </c>
      <c r="C1731" t="s">
        <v>4</v>
      </c>
      <c r="D1731" s="1">
        <v>188712</v>
      </c>
      <c r="E1731" s="1">
        <v>2551444</v>
      </c>
      <c r="F1731" s="2">
        <v>86955</v>
      </c>
    </row>
    <row r="1732" spans="1:6" x14ac:dyDescent="0.35">
      <c r="A1732">
        <v>2017</v>
      </c>
      <c r="B1732" t="s">
        <v>57</v>
      </c>
      <c r="C1732" t="s">
        <v>5</v>
      </c>
      <c r="D1732" s="1">
        <v>50576</v>
      </c>
      <c r="E1732" s="1">
        <v>412889</v>
      </c>
      <c r="F1732" s="2">
        <v>78698</v>
      </c>
    </row>
    <row r="1733" spans="1:6" x14ac:dyDescent="0.35">
      <c r="A1733">
        <v>2017</v>
      </c>
      <c r="B1733" t="s">
        <v>57</v>
      </c>
      <c r="C1733" t="s">
        <v>6</v>
      </c>
      <c r="D1733" s="1">
        <v>22807</v>
      </c>
      <c r="E1733" s="1">
        <v>218450</v>
      </c>
      <c r="F1733" s="2">
        <v>87307</v>
      </c>
    </row>
    <row r="1734" spans="1:6" x14ac:dyDescent="0.35">
      <c r="A1734">
        <v>2017</v>
      </c>
      <c r="B1734" t="s">
        <v>57</v>
      </c>
      <c r="C1734" t="s">
        <v>7</v>
      </c>
      <c r="D1734" s="1">
        <v>8644</v>
      </c>
      <c r="E1734" s="1">
        <v>61956</v>
      </c>
      <c r="F1734" s="2">
        <v>80600</v>
      </c>
    </row>
    <row r="1735" spans="1:6" x14ac:dyDescent="0.35">
      <c r="A1735">
        <v>2017</v>
      </c>
      <c r="B1735" t="s">
        <v>57</v>
      </c>
      <c r="C1735" t="s">
        <v>8</v>
      </c>
      <c r="D1735" s="1">
        <v>156978</v>
      </c>
      <c r="E1735" s="1">
        <v>1322562</v>
      </c>
      <c r="F1735" s="2">
        <v>58653</v>
      </c>
    </row>
    <row r="1736" spans="1:6" x14ac:dyDescent="0.35">
      <c r="A1736">
        <v>2017</v>
      </c>
      <c r="B1736" t="s">
        <v>57</v>
      </c>
      <c r="C1736" t="s">
        <v>9</v>
      </c>
      <c r="D1736" s="1">
        <v>54102</v>
      </c>
      <c r="E1736" s="1">
        <v>668820</v>
      </c>
      <c r="F1736" s="2">
        <v>64724</v>
      </c>
    </row>
    <row r="1737" spans="1:6" x14ac:dyDescent="0.35">
      <c r="A1737">
        <v>2017</v>
      </c>
      <c r="B1737" t="s">
        <v>57</v>
      </c>
      <c r="C1737" t="s">
        <v>10</v>
      </c>
      <c r="D1737" s="1">
        <v>11075</v>
      </c>
      <c r="E1737" s="1">
        <v>88110</v>
      </c>
      <c r="F1737" s="2">
        <v>48653</v>
      </c>
    </row>
    <row r="1738" spans="1:6" x14ac:dyDescent="0.35">
      <c r="A1738">
        <v>2017</v>
      </c>
      <c r="B1738" t="s">
        <v>57</v>
      </c>
      <c r="C1738" t="s">
        <v>11</v>
      </c>
      <c r="D1738" s="1">
        <v>73447</v>
      </c>
      <c r="E1738" s="1">
        <v>942202</v>
      </c>
      <c r="F1738" s="2">
        <v>73829</v>
      </c>
    </row>
    <row r="1739" spans="1:6" x14ac:dyDescent="0.35">
      <c r="A1739">
        <v>2017</v>
      </c>
      <c r="B1739" t="s">
        <v>57</v>
      </c>
      <c r="C1739" t="s">
        <v>12</v>
      </c>
      <c r="D1739" s="1">
        <v>29045</v>
      </c>
      <c r="E1739" s="1">
        <v>336985</v>
      </c>
      <c r="F1739" s="2">
        <v>50796</v>
      </c>
    </row>
    <row r="1740" spans="1:6" x14ac:dyDescent="0.35">
      <c r="A1740">
        <v>2017</v>
      </c>
      <c r="B1740" t="s">
        <v>57</v>
      </c>
      <c r="C1740" t="s">
        <v>13</v>
      </c>
      <c r="D1740" s="1">
        <v>15401</v>
      </c>
      <c r="E1740" s="1">
        <v>139096</v>
      </c>
      <c r="F1740" s="2">
        <v>52293</v>
      </c>
    </row>
    <row r="1741" spans="1:6" x14ac:dyDescent="0.35">
      <c r="A1741">
        <v>2017</v>
      </c>
      <c r="B1741" t="s">
        <v>57</v>
      </c>
      <c r="C1741" t="s">
        <v>14</v>
      </c>
      <c r="D1741" s="1">
        <v>16569</v>
      </c>
      <c r="E1741" s="1">
        <v>177353</v>
      </c>
      <c r="F1741" s="2">
        <v>59048</v>
      </c>
    </row>
    <row r="1742" spans="1:6" x14ac:dyDescent="0.35">
      <c r="A1742">
        <v>2017</v>
      </c>
      <c r="B1742" t="s">
        <v>57</v>
      </c>
      <c r="C1742" t="s">
        <v>15</v>
      </c>
      <c r="D1742" s="1">
        <v>20206</v>
      </c>
      <c r="E1742" s="1">
        <v>214141</v>
      </c>
      <c r="F1742" s="2">
        <v>48829</v>
      </c>
    </row>
    <row r="1743" spans="1:6" x14ac:dyDescent="0.35">
      <c r="A1743">
        <v>2017</v>
      </c>
      <c r="B1743" t="s">
        <v>57</v>
      </c>
      <c r="C1743" t="s">
        <v>16</v>
      </c>
      <c r="D1743" s="1">
        <v>24001</v>
      </c>
      <c r="E1743" s="1">
        <v>209874</v>
      </c>
      <c r="F1743" s="2">
        <v>55218</v>
      </c>
    </row>
    <row r="1744" spans="1:6" x14ac:dyDescent="0.35">
      <c r="A1744">
        <v>2017</v>
      </c>
      <c r="B1744" t="s">
        <v>57</v>
      </c>
      <c r="C1744" t="s">
        <v>17</v>
      </c>
      <c r="D1744" s="1">
        <v>9912</v>
      </c>
      <c r="E1744" s="1">
        <v>66736</v>
      </c>
      <c r="F1744" s="2">
        <v>55405</v>
      </c>
    </row>
    <row r="1745" spans="1:6" x14ac:dyDescent="0.35">
      <c r="A1745">
        <v>2017</v>
      </c>
      <c r="B1745" t="s">
        <v>57</v>
      </c>
      <c r="C1745" t="s">
        <v>18</v>
      </c>
      <c r="D1745" s="1">
        <v>42175</v>
      </c>
      <c r="E1745" s="1">
        <v>443764</v>
      </c>
      <c r="F1745" s="2">
        <v>77259</v>
      </c>
    </row>
    <row r="1746" spans="1:6" x14ac:dyDescent="0.35">
      <c r="A1746">
        <v>2017</v>
      </c>
      <c r="B1746" t="s">
        <v>57</v>
      </c>
      <c r="C1746" t="s">
        <v>19</v>
      </c>
      <c r="D1746" s="1">
        <v>47186</v>
      </c>
      <c r="E1746" s="1">
        <v>566190</v>
      </c>
      <c r="F1746" s="2">
        <v>102580</v>
      </c>
    </row>
    <row r="1747" spans="1:6" x14ac:dyDescent="0.35">
      <c r="A1747">
        <v>2017</v>
      </c>
      <c r="B1747" t="s">
        <v>57</v>
      </c>
      <c r="C1747" t="s">
        <v>20</v>
      </c>
      <c r="D1747" s="1">
        <v>42271</v>
      </c>
      <c r="E1747" s="1">
        <v>645279</v>
      </c>
      <c r="F1747" s="2">
        <v>68677</v>
      </c>
    </row>
    <row r="1748" spans="1:6" x14ac:dyDescent="0.35">
      <c r="A1748">
        <v>2017</v>
      </c>
      <c r="B1748" t="s">
        <v>57</v>
      </c>
      <c r="C1748" t="s">
        <v>21</v>
      </c>
      <c r="D1748" s="1">
        <v>29916</v>
      </c>
      <c r="E1748" s="1">
        <v>373603</v>
      </c>
      <c r="F1748" s="2">
        <v>80794</v>
      </c>
    </row>
    <row r="1749" spans="1:6" x14ac:dyDescent="0.35">
      <c r="A1749">
        <v>2017</v>
      </c>
      <c r="B1749" t="s">
        <v>57</v>
      </c>
      <c r="C1749" t="s">
        <v>22</v>
      </c>
      <c r="D1749" s="1">
        <v>11953</v>
      </c>
      <c r="E1749" s="1">
        <v>107737</v>
      </c>
      <c r="F1749" s="2">
        <v>41461</v>
      </c>
    </row>
    <row r="1750" spans="1:6" x14ac:dyDescent="0.35">
      <c r="A1750">
        <v>2017</v>
      </c>
      <c r="B1750" t="s">
        <v>57</v>
      </c>
      <c r="C1750" t="s">
        <v>23</v>
      </c>
      <c r="D1750" s="1">
        <v>33699</v>
      </c>
      <c r="E1750" s="1">
        <v>381525</v>
      </c>
      <c r="F1750" s="2">
        <v>63932</v>
      </c>
    </row>
    <row r="1751" spans="1:6" x14ac:dyDescent="0.35">
      <c r="A1751">
        <v>2017</v>
      </c>
      <c r="B1751" t="s">
        <v>57</v>
      </c>
      <c r="C1751" t="s">
        <v>24</v>
      </c>
      <c r="D1751" s="1">
        <v>8994</v>
      </c>
      <c r="E1751" s="1">
        <v>41010</v>
      </c>
      <c r="F1751" s="2">
        <v>50921</v>
      </c>
    </row>
    <row r="1752" spans="1:6" x14ac:dyDescent="0.35">
      <c r="A1752">
        <v>2017</v>
      </c>
      <c r="B1752" t="s">
        <v>57</v>
      </c>
      <c r="C1752" t="s">
        <v>25</v>
      </c>
      <c r="D1752" s="1">
        <v>11395</v>
      </c>
      <c r="E1752" s="1">
        <v>117542</v>
      </c>
      <c r="F1752" s="2">
        <v>59204</v>
      </c>
    </row>
    <row r="1753" spans="1:6" x14ac:dyDescent="0.35">
      <c r="A1753">
        <v>2017</v>
      </c>
      <c r="B1753" t="s">
        <v>57</v>
      </c>
      <c r="C1753" t="s">
        <v>26</v>
      </c>
      <c r="D1753" s="1">
        <v>19521</v>
      </c>
      <c r="E1753" s="1">
        <v>181485</v>
      </c>
      <c r="F1753" s="2">
        <v>58283</v>
      </c>
    </row>
    <row r="1754" spans="1:6" x14ac:dyDescent="0.35">
      <c r="A1754">
        <v>2017</v>
      </c>
      <c r="B1754" t="s">
        <v>57</v>
      </c>
      <c r="C1754" t="s">
        <v>27</v>
      </c>
      <c r="D1754" s="1">
        <v>11938</v>
      </c>
      <c r="E1754" s="1">
        <v>81761</v>
      </c>
      <c r="F1754" s="2">
        <v>75584</v>
      </c>
    </row>
    <row r="1755" spans="1:6" x14ac:dyDescent="0.35">
      <c r="A1755">
        <v>2017</v>
      </c>
      <c r="B1755" t="s">
        <v>57</v>
      </c>
      <c r="C1755" t="s">
        <v>28</v>
      </c>
      <c r="D1755" s="1">
        <v>50907</v>
      </c>
      <c r="E1755" s="1">
        <v>663584</v>
      </c>
      <c r="F1755" s="2">
        <v>88404</v>
      </c>
    </row>
    <row r="1756" spans="1:6" x14ac:dyDescent="0.35">
      <c r="A1756">
        <v>2017</v>
      </c>
      <c r="B1756" t="s">
        <v>57</v>
      </c>
      <c r="C1756" t="s">
        <v>29</v>
      </c>
      <c r="D1756" s="1">
        <v>10062</v>
      </c>
      <c r="E1756" s="1">
        <v>104434</v>
      </c>
      <c r="F1756" s="2">
        <v>60086</v>
      </c>
    </row>
    <row r="1757" spans="1:6" x14ac:dyDescent="0.35">
      <c r="A1757">
        <v>2017</v>
      </c>
      <c r="B1757" t="s">
        <v>57</v>
      </c>
      <c r="C1757" t="s">
        <v>30</v>
      </c>
      <c r="D1757" s="1">
        <v>111646</v>
      </c>
      <c r="E1757" s="1">
        <v>1314408</v>
      </c>
      <c r="F1757" s="2">
        <v>92549</v>
      </c>
    </row>
    <row r="1758" spans="1:6" x14ac:dyDescent="0.35">
      <c r="A1758">
        <v>2017</v>
      </c>
      <c r="B1758" t="s">
        <v>57</v>
      </c>
      <c r="C1758" t="s">
        <v>31</v>
      </c>
      <c r="D1758" s="1">
        <v>57179</v>
      </c>
      <c r="E1758" s="1">
        <v>616193</v>
      </c>
      <c r="F1758" s="2">
        <v>62617</v>
      </c>
    </row>
    <row r="1759" spans="1:6" x14ac:dyDescent="0.35">
      <c r="A1759">
        <v>2017</v>
      </c>
      <c r="B1759" t="s">
        <v>57</v>
      </c>
      <c r="C1759" t="s">
        <v>32</v>
      </c>
      <c r="D1759" s="1">
        <v>4917</v>
      </c>
      <c r="E1759" s="1">
        <v>34300</v>
      </c>
      <c r="F1759" s="2">
        <v>59438</v>
      </c>
    </row>
    <row r="1760" spans="1:6" x14ac:dyDescent="0.35">
      <c r="A1760">
        <v>2017</v>
      </c>
      <c r="B1760" t="s">
        <v>57</v>
      </c>
      <c r="C1760" t="s">
        <v>33</v>
      </c>
      <c r="D1760" s="1">
        <v>52650</v>
      </c>
      <c r="E1760" s="1">
        <v>724748</v>
      </c>
      <c r="F1760" s="2">
        <v>62445</v>
      </c>
    </row>
    <row r="1761" spans="1:6" x14ac:dyDescent="0.35">
      <c r="A1761">
        <v>2017</v>
      </c>
      <c r="B1761" t="s">
        <v>57</v>
      </c>
      <c r="C1761" t="s">
        <v>34</v>
      </c>
      <c r="D1761" s="1">
        <v>20434</v>
      </c>
      <c r="E1761" s="1">
        <v>185534</v>
      </c>
      <c r="F1761" s="2">
        <v>50640</v>
      </c>
    </row>
    <row r="1762" spans="1:6" x14ac:dyDescent="0.35">
      <c r="A1762">
        <v>2017</v>
      </c>
      <c r="B1762" t="s">
        <v>57</v>
      </c>
      <c r="C1762" t="s">
        <v>35</v>
      </c>
      <c r="D1762" s="1">
        <v>24942</v>
      </c>
      <c r="E1762" s="1">
        <v>242708</v>
      </c>
      <c r="F1762" s="2">
        <v>67873</v>
      </c>
    </row>
    <row r="1763" spans="1:6" x14ac:dyDescent="0.35">
      <c r="A1763">
        <v>2017</v>
      </c>
      <c r="B1763" t="s">
        <v>57</v>
      </c>
      <c r="C1763" t="s">
        <v>36</v>
      </c>
      <c r="D1763" s="1">
        <v>61779</v>
      </c>
      <c r="E1763" s="1">
        <v>799939</v>
      </c>
      <c r="F1763" s="2">
        <v>76029</v>
      </c>
    </row>
    <row r="1764" spans="1:6" x14ac:dyDescent="0.35">
      <c r="A1764">
        <v>2017</v>
      </c>
      <c r="B1764" t="s">
        <v>57</v>
      </c>
      <c r="C1764" t="s">
        <v>37</v>
      </c>
      <c r="D1764" s="1">
        <v>8350</v>
      </c>
      <c r="E1764" s="1">
        <v>67366</v>
      </c>
      <c r="F1764" s="2">
        <v>67763</v>
      </c>
    </row>
    <row r="1765" spans="1:6" x14ac:dyDescent="0.35">
      <c r="A1765">
        <v>2017</v>
      </c>
      <c r="B1765" t="s">
        <v>57</v>
      </c>
      <c r="C1765" t="s">
        <v>38</v>
      </c>
      <c r="D1765" s="1">
        <v>25902</v>
      </c>
      <c r="E1765" s="1">
        <v>280711</v>
      </c>
      <c r="F1765" s="2">
        <v>49505</v>
      </c>
    </row>
    <row r="1766" spans="1:6" x14ac:dyDescent="0.35">
      <c r="A1766">
        <v>2017</v>
      </c>
      <c r="B1766" t="s">
        <v>57</v>
      </c>
      <c r="C1766" t="s">
        <v>39</v>
      </c>
      <c r="D1766" s="1">
        <v>5030</v>
      </c>
      <c r="E1766" s="1">
        <v>31264</v>
      </c>
      <c r="F1766" s="2">
        <v>55293</v>
      </c>
    </row>
    <row r="1767" spans="1:6" x14ac:dyDescent="0.35">
      <c r="A1767">
        <v>2017</v>
      </c>
      <c r="B1767" t="s">
        <v>57</v>
      </c>
      <c r="C1767" t="s">
        <v>40</v>
      </c>
      <c r="D1767" s="1">
        <v>28315</v>
      </c>
      <c r="E1767" s="1">
        <v>407133</v>
      </c>
      <c r="F1767" s="2">
        <v>56172</v>
      </c>
    </row>
    <row r="1768" spans="1:6" x14ac:dyDescent="0.35">
      <c r="A1768">
        <v>2017</v>
      </c>
      <c r="B1768" t="s">
        <v>57</v>
      </c>
      <c r="C1768" t="s">
        <v>41</v>
      </c>
      <c r="D1768" s="1">
        <v>129242</v>
      </c>
      <c r="E1768" s="1">
        <v>1666865</v>
      </c>
      <c r="F1768" s="2">
        <v>71507</v>
      </c>
    </row>
    <row r="1769" spans="1:6" x14ac:dyDescent="0.35">
      <c r="A1769">
        <v>2017</v>
      </c>
      <c r="B1769" t="s">
        <v>57</v>
      </c>
      <c r="C1769" t="s">
        <v>42</v>
      </c>
      <c r="D1769" s="1">
        <v>21911</v>
      </c>
      <c r="E1769" s="1">
        <v>205052</v>
      </c>
      <c r="F1769" s="2">
        <v>56815</v>
      </c>
    </row>
    <row r="1770" spans="1:6" x14ac:dyDescent="0.35">
      <c r="A1770">
        <v>2017</v>
      </c>
      <c r="B1770" t="s">
        <v>57</v>
      </c>
      <c r="C1770" t="s">
        <v>43</v>
      </c>
      <c r="D1770" s="1">
        <v>5488</v>
      </c>
      <c r="E1770" s="1">
        <v>28484</v>
      </c>
      <c r="F1770" s="2">
        <v>63457</v>
      </c>
    </row>
    <row r="1771" spans="1:6" x14ac:dyDescent="0.35">
      <c r="A1771">
        <v>2017</v>
      </c>
      <c r="B1771" t="s">
        <v>57</v>
      </c>
      <c r="C1771" t="s">
        <v>44</v>
      </c>
      <c r="D1771" s="1">
        <v>57146</v>
      </c>
      <c r="E1771" s="1">
        <v>725936</v>
      </c>
      <c r="F1771" s="2">
        <v>84971</v>
      </c>
    </row>
    <row r="1772" spans="1:6" x14ac:dyDescent="0.35">
      <c r="A1772">
        <v>2017</v>
      </c>
      <c r="B1772" t="s">
        <v>57</v>
      </c>
      <c r="C1772" t="s">
        <v>45</v>
      </c>
      <c r="D1772" s="1">
        <v>39177</v>
      </c>
      <c r="E1772" s="1">
        <v>404782</v>
      </c>
      <c r="F1772" s="2">
        <v>76348</v>
      </c>
    </row>
    <row r="1773" spans="1:6" x14ac:dyDescent="0.35">
      <c r="A1773">
        <v>2017</v>
      </c>
      <c r="B1773" t="s">
        <v>57</v>
      </c>
      <c r="C1773" t="s">
        <v>46</v>
      </c>
      <c r="D1773" s="1">
        <v>8077</v>
      </c>
      <c r="E1773" s="1">
        <v>66420</v>
      </c>
      <c r="F1773" s="2">
        <v>48213</v>
      </c>
    </row>
    <row r="1774" spans="1:6" x14ac:dyDescent="0.35">
      <c r="A1774">
        <v>2017</v>
      </c>
      <c r="B1774" t="s">
        <v>57</v>
      </c>
      <c r="C1774" t="s">
        <v>47</v>
      </c>
      <c r="D1774" s="1">
        <v>23769</v>
      </c>
      <c r="E1774" s="1">
        <v>324012</v>
      </c>
      <c r="F1774" s="2">
        <v>57868</v>
      </c>
    </row>
    <row r="1775" spans="1:6" x14ac:dyDescent="0.35">
      <c r="A1775">
        <v>2017</v>
      </c>
      <c r="B1775" t="s">
        <v>57</v>
      </c>
      <c r="C1775" t="s">
        <v>48</v>
      </c>
      <c r="D1775" s="1">
        <v>4417</v>
      </c>
      <c r="E1775" s="1">
        <v>18050</v>
      </c>
      <c r="F1775" s="2">
        <v>50226</v>
      </c>
    </row>
    <row r="1776" spans="1:6" x14ac:dyDescent="0.35">
      <c r="A1776">
        <v>2017</v>
      </c>
      <c r="B1776" t="s">
        <v>58</v>
      </c>
      <c r="C1776" t="s">
        <v>1</v>
      </c>
      <c r="D1776" s="1">
        <v>12429</v>
      </c>
      <c r="E1776" s="1">
        <v>229821</v>
      </c>
      <c r="F1776" s="2">
        <v>45641</v>
      </c>
    </row>
    <row r="1777" spans="1:6" x14ac:dyDescent="0.35">
      <c r="A1777">
        <v>2017</v>
      </c>
      <c r="B1777" t="s">
        <v>58</v>
      </c>
      <c r="C1777" t="s">
        <v>2</v>
      </c>
      <c r="D1777" s="1">
        <v>16509</v>
      </c>
      <c r="E1777" s="1">
        <v>420129</v>
      </c>
      <c r="F1777" s="2">
        <v>50240</v>
      </c>
    </row>
    <row r="1778" spans="1:6" x14ac:dyDescent="0.35">
      <c r="A1778">
        <v>2017</v>
      </c>
      <c r="B1778" t="s">
        <v>58</v>
      </c>
      <c r="C1778" t="s">
        <v>3</v>
      </c>
      <c r="D1778" s="1">
        <v>15762</v>
      </c>
      <c r="E1778" s="1">
        <v>183433</v>
      </c>
      <c r="F1778" s="2">
        <v>41521</v>
      </c>
    </row>
    <row r="1779" spans="1:6" x14ac:dyDescent="0.35">
      <c r="A1779">
        <v>2017</v>
      </c>
      <c r="B1779" t="s">
        <v>58</v>
      </c>
      <c r="C1779" t="s">
        <v>4</v>
      </c>
      <c r="D1779" s="1">
        <v>593987</v>
      </c>
      <c r="E1779" s="1">
        <v>2560907</v>
      </c>
      <c r="F1779" s="2">
        <v>50766</v>
      </c>
    </row>
    <row r="1780" spans="1:6" x14ac:dyDescent="0.35">
      <c r="A1780">
        <v>2017</v>
      </c>
      <c r="B1780" t="s">
        <v>58</v>
      </c>
      <c r="C1780" t="s">
        <v>5</v>
      </c>
      <c r="D1780" s="1">
        <v>21356</v>
      </c>
      <c r="E1780" s="1">
        <v>328843</v>
      </c>
      <c r="F1780" s="2">
        <v>48754</v>
      </c>
    </row>
    <row r="1781" spans="1:6" x14ac:dyDescent="0.35">
      <c r="A1781">
        <v>2017</v>
      </c>
      <c r="B1781" t="s">
        <v>58</v>
      </c>
      <c r="C1781" t="s">
        <v>6</v>
      </c>
      <c r="D1781" s="1">
        <v>12701</v>
      </c>
      <c r="E1781" s="1">
        <v>325348</v>
      </c>
      <c r="F1781" s="2">
        <v>53993</v>
      </c>
    </row>
    <row r="1782" spans="1:6" x14ac:dyDescent="0.35">
      <c r="A1782">
        <v>2017</v>
      </c>
      <c r="B1782" t="s">
        <v>58</v>
      </c>
      <c r="C1782" t="s">
        <v>7</v>
      </c>
      <c r="D1782" s="1">
        <v>4626</v>
      </c>
      <c r="E1782" s="1">
        <v>73879</v>
      </c>
      <c r="F1782" s="2">
        <v>53083</v>
      </c>
    </row>
    <row r="1783" spans="1:6" x14ac:dyDescent="0.35">
      <c r="A1783">
        <v>2017</v>
      </c>
      <c r="B1783" t="s">
        <v>58</v>
      </c>
      <c r="C1783" t="s">
        <v>8</v>
      </c>
      <c r="D1783" s="1">
        <v>71929</v>
      </c>
      <c r="E1783" s="1">
        <v>1258710</v>
      </c>
      <c r="F1783" s="2">
        <v>49450</v>
      </c>
    </row>
    <row r="1784" spans="1:6" x14ac:dyDescent="0.35">
      <c r="A1784">
        <v>2017</v>
      </c>
      <c r="B1784" t="s">
        <v>58</v>
      </c>
      <c r="C1784" t="s">
        <v>9</v>
      </c>
      <c r="D1784" s="1">
        <v>28426</v>
      </c>
      <c r="E1784" s="1">
        <v>546707</v>
      </c>
      <c r="F1784" s="2">
        <v>50819</v>
      </c>
    </row>
    <row r="1785" spans="1:6" x14ac:dyDescent="0.35">
      <c r="A1785">
        <v>2017</v>
      </c>
      <c r="B1785" t="s">
        <v>58</v>
      </c>
      <c r="C1785" t="s">
        <v>10</v>
      </c>
      <c r="D1785" s="1">
        <v>7292</v>
      </c>
      <c r="E1785" s="1">
        <v>96246</v>
      </c>
      <c r="F1785" s="2">
        <v>40927</v>
      </c>
    </row>
    <row r="1786" spans="1:6" x14ac:dyDescent="0.35">
      <c r="A1786">
        <v>2017</v>
      </c>
      <c r="B1786" t="s">
        <v>58</v>
      </c>
      <c r="C1786" t="s">
        <v>11</v>
      </c>
      <c r="D1786" s="1">
        <v>34414</v>
      </c>
      <c r="E1786" s="1">
        <v>910288</v>
      </c>
      <c r="F1786" s="2">
        <v>49347</v>
      </c>
    </row>
    <row r="1787" spans="1:6" x14ac:dyDescent="0.35">
      <c r="A1787">
        <v>2017</v>
      </c>
      <c r="B1787" t="s">
        <v>58</v>
      </c>
      <c r="C1787" t="s">
        <v>12</v>
      </c>
      <c r="D1787" s="1">
        <v>15254</v>
      </c>
      <c r="E1787" s="1">
        <v>452646</v>
      </c>
      <c r="F1787" s="2">
        <v>46791</v>
      </c>
    </row>
    <row r="1788" spans="1:6" x14ac:dyDescent="0.35">
      <c r="A1788">
        <v>2017</v>
      </c>
      <c r="B1788" t="s">
        <v>58</v>
      </c>
      <c r="C1788" t="s">
        <v>13</v>
      </c>
      <c r="D1788" s="1">
        <v>11324</v>
      </c>
      <c r="E1788" s="1">
        <v>219362</v>
      </c>
      <c r="F1788" s="2">
        <v>42092</v>
      </c>
    </row>
    <row r="1789" spans="1:6" x14ac:dyDescent="0.35">
      <c r="A1789">
        <v>2017</v>
      </c>
      <c r="B1789" t="s">
        <v>58</v>
      </c>
      <c r="C1789" t="s">
        <v>14</v>
      </c>
      <c r="D1789" s="1">
        <v>10129</v>
      </c>
      <c r="E1789" s="1">
        <v>192638</v>
      </c>
      <c r="F1789" s="2">
        <v>41465</v>
      </c>
    </row>
    <row r="1790" spans="1:6" x14ac:dyDescent="0.35">
      <c r="A1790">
        <v>2017</v>
      </c>
      <c r="B1790" t="s">
        <v>58</v>
      </c>
      <c r="C1790" t="s">
        <v>15</v>
      </c>
      <c r="D1790" s="1">
        <v>17849</v>
      </c>
      <c r="E1790" s="1">
        <v>262151</v>
      </c>
      <c r="F1790" s="2">
        <v>47340</v>
      </c>
    </row>
    <row r="1791" spans="1:6" x14ac:dyDescent="0.35">
      <c r="A1791">
        <v>2017</v>
      </c>
      <c r="B1791" t="s">
        <v>58</v>
      </c>
      <c r="C1791" t="s">
        <v>16</v>
      </c>
      <c r="D1791" s="1">
        <v>15003</v>
      </c>
      <c r="E1791" s="1">
        <v>297694</v>
      </c>
      <c r="F1791" s="2">
        <v>42305</v>
      </c>
    </row>
    <row r="1792" spans="1:6" x14ac:dyDescent="0.35">
      <c r="A1792">
        <v>2017</v>
      </c>
      <c r="B1792" t="s">
        <v>58</v>
      </c>
      <c r="C1792" t="s">
        <v>17</v>
      </c>
      <c r="D1792" s="1">
        <v>6292</v>
      </c>
      <c r="E1792" s="1">
        <v>118412</v>
      </c>
      <c r="F1792" s="2">
        <v>45937</v>
      </c>
    </row>
    <row r="1793" spans="1:6" x14ac:dyDescent="0.35">
      <c r="A1793">
        <v>2017</v>
      </c>
      <c r="B1793" t="s">
        <v>58</v>
      </c>
      <c r="C1793" t="s">
        <v>18</v>
      </c>
      <c r="D1793" s="1">
        <v>20270</v>
      </c>
      <c r="E1793" s="1">
        <v>436185</v>
      </c>
      <c r="F1793" s="2">
        <v>53201</v>
      </c>
    </row>
    <row r="1794" spans="1:6" x14ac:dyDescent="0.35">
      <c r="A1794">
        <v>2017</v>
      </c>
      <c r="B1794" t="s">
        <v>58</v>
      </c>
      <c r="C1794" t="s">
        <v>19</v>
      </c>
      <c r="D1794" s="1">
        <v>61589</v>
      </c>
      <c r="E1794" s="1">
        <v>769824</v>
      </c>
      <c r="F1794" s="2">
        <v>57794</v>
      </c>
    </row>
    <row r="1795" spans="1:6" x14ac:dyDescent="0.35">
      <c r="A1795">
        <v>2017</v>
      </c>
      <c r="B1795" t="s">
        <v>58</v>
      </c>
      <c r="C1795" t="s">
        <v>20</v>
      </c>
      <c r="D1795" s="1">
        <v>24957</v>
      </c>
      <c r="E1795" s="1">
        <v>656020</v>
      </c>
      <c r="F1795" s="2">
        <v>48406</v>
      </c>
    </row>
    <row r="1796" spans="1:6" x14ac:dyDescent="0.35">
      <c r="A1796">
        <v>2017</v>
      </c>
      <c r="B1796" t="s">
        <v>58</v>
      </c>
      <c r="C1796" t="s">
        <v>21</v>
      </c>
      <c r="D1796" s="1">
        <v>17543</v>
      </c>
      <c r="E1796" s="1">
        <v>514711</v>
      </c>
      <c r="F1796" s="2">
        <v>49720</v>
      </c>
    </row>
    <row r="1797" spans="1:6" x14ac:dyDescent="0.35">
      <c r="A1797">
        <v>2017</v>
      </c>
      <c r="B1797" t="s">
        <v>58</v>
      </c>
      <c r="C1797" t="s">
        <v>22</v>
      </c>
      <c r="D1797" s="1">
        <v>7420</v>
      </c>
      <c r="E1797" s="1">
        <v>142412</v>
      </c>
      <c r="F1797" s="2">
        <v>40426</v>
      </c>
    </row>
    <row r="1798" spans="1:6" x14ac:dyDescent="0.35">
      <c r="A1798">
        <v>2017</v>
      </c>
      <c r="B1798" t="s">
        <v>58</v>
      </c>
      <c r="C1798" t="s">
        <v>23</v>
      </c>
      <c r="D1798" s="1">
        <v>48626</v>
      </c>
      <c r="E1798" s="1">
        <v>450671</v>
      </c>
      <c r="F1798" s="2">
        <v>44800</v>
      </c>
    </row>
    <row r="1799" spans="1:6" x14ac:dyDescent="0.35">
      <c r="A1799">
        <v>2017</v>
      </c>
      <c r="B1799" t="s">
        <v>58</v>
      </c>
      <c r="C1799" t="s">
        <v>24</v>
      </c>
      <c r="D1799" s="1">
        <v>4448</v>
      </c>
      <c r="E1799" s="1">
        <v>73262</v>
      </c>
      <c r="F1799" s="2">
        <v>46171</v>
      </c>
    </row>
    <row r="1800" spans="1:6" x14ac:dyDescent="0.35">
      <c r="A1800">
        <v>2017</v>
      </c>
      <c r="B1800" t="s">
        <v>58</v>
      </c>
      <c r="C1800" t="s">
        <v>25</v>
      </c>
      <c r="D1800" s="1">
        <v>13241</v>
      </c>
      <c r="E1800" s="1">
        <v>136970</v>
      </c>
      <c r="F1800" s="2">
        <v>44565</v>
      </c>
    </row>
    <row r="1801" spans="1:6" x14ac:dyDescent="0.35">
      <c r="A1801">
        <v>2017</v>
      </c>
      <c r="B1801" t="s">
        <v>58</v>
      </c>
      <c r="C1801" t="s">
        <v>26</v>
      </c>
      <c r="D1801" s="1">
        <v>8681</v>
      </c>
      <c r="E1801" s="1">
        <v>131756</v>
      </c>
      <c r="F1801" s="2">
        <v>53119</v>
      </c>
    </row>
    <row r="1802" spans="1:6" x14ac:dyDescent="0.35">
      <c r="A1802">
        <v>2017</v>
      </c>
      <c r="B1802" t="s">
        <v>58</v>
      </c>
      <c r="C1802" t="s">
        <v>27</v>
      </c>
      <c r="D1802" s="1">
        <v>4635</v>
      </c>
      <c r="E1802" s="1">
        <v>111212</v>
      </c>
      <c r="F1802" s="2">
        <v>54599</v>
      </c>
    </row>
    <row r="1803" spans="1:6" x14ac:dyDescent="0.35">
      <c r="A1803">
        <v>2017</v>
      </c>
      <c r="B1803" t="s">
        <v>58</v>
      </c>
      <c r="C1803" t="s">
        <v>28</v>
      </c>
      <c r="D1803" s="1">
        <v>33411</v>
      </c>
      <c r="E1803" s="1">
        <v>644049</v>
      </c>
      <c r="F1803" s="2">
        <v>52138</v>
      </c>
    </row>
    <row r="1804" spans="1:6" x14ac:dyDescent="0.35">
      <c r="A1804">
        <v>2017</v>
      </c>
      <c r="B1804" t="s">
        <v>58</v>
      </c>
      <c r="C1804" t="s">
        <v>29</v>
      </c>
      <c r="D1804" s="1">
        <v>9629</v>
      </c>
      <c r="E1804" s="1">
        <v>127804</v>
      </c>
      <c r="F1804" s="2">
        <v>40621</v>
      </c>
    </row>
    <row r="1805" spans="1:6" x14ac:dyDescent="0.35">
      <c r="A1805">
        <v>2017</v>
      </c>
      <c r="B1805" t="s">
        <v>58</v>
      </c>
      <c r="C1805" t="s">
        <v>30</v>
      </c>
      <c r="D1805" s="1">
        <v>67533</v>
      </c>
      <c r="E1805" s="1">
        <v>1847585</v>
      </c>
      <c r="F1805" s="2">
        <v>51932</v>
      </c>
    </row>
    <row r="1806" spans="1:6" x14ac:dyDescent="0.35">
      <c r="A1806">
        <v>2017</v>
      </c>
      <c r="B1806" t="s">
        <v>58</v>
      </c>
      <c r="C1806" t="s">
        <v>31</v>
      </c>
      <c r="D1806" s="1">
        <v>26885</v>
      </c>
      <c r="E1806" s="1">
        <v>578637</v>
      </c>
      <c r="F1806" s="2">
        <v>47135</v>
      </c>
    </row>
    <row r="1807" spans="1:6" x14ac:dyDescent="0.35">
      <c r="A1807">
        <v>2017</v>
      </c>
      <c r="B1807" t="s">
        <v>58</v>
      </c>
      <c r="C1807" t="s">
        <v>32</v>
      </c>
      <c r="D1807" s="1">
        <v>2484</v>
      </c>
      <c r="E1807" s="1">
        <v>61847</v>
      </c>
      <c r="F1807" s="2">
        <v>49915</v>
      </c>
    </row>
    <row r="1808" spans="1:6" x14ac:dyDescent="0.35">
      <c r="A1808">
        <v>2017</v>
      </c>
      <c r="B1808" t="s">
        <v>58</v>
      </c>
      <c r="C1808" t="s">
        <v>33</v>
      </c>
      <c r="D1808" s="1">
        <v>34090</v>
      </c>
      <c r="E1808" s="1">
        <v>897244</v>
      </c>
      <c r="F1808" s="2">
        <v>45314</v>
      </c>
    </row>
    <row r="1809" spans="1:6" x14ac:dyDescent="0.35">
      <c r="A1809">
        <v>2017</v>
      </c>
      <c r="B1809" t="s">
        <v>58</v>
      </c>
      <c r="C1809" t="s">
        <v>34</v>
      </c>
      <c r="D1809" s="1">
        <v>13367</v>
      </c>
      <c r="E1809" s="1">
        <v>208934</v>
      </c>
      <c r="F1809" s="2">
        <v>44167</v>
      </c>
    </row>
    <row r="1810" spans="1:6" x14ac:dyDescent="0.35">
      <c r="A1810">
        <v>2017</v>
      </c>
      <c r="B1810" t="s">
        <v>58</v>
      </c>
      <c r="C1810" t="s">
        <v>35</v>
      </c>
      <c r="D1810" s="1">
        <v>15363</v>
      </c>
      <c r="E1810" s="1">
        <v>266489</v>
      </c>
      <c r="F1810" s="2">
        <v>50908</v>
      </c>
    </row>
    <row r="1811" spans="1:6" x14ac:dyDescent="0.35">
      <c r="A1811">
        <v>2017</v>
      </c>
      <c r="B1811" t="s">
        <v>58</v>
      </c>
      <c r="C1811" t="s">
        <v>36</v>
      </c>
      <c r="D1811" s="1">
        <v>58709</v>
      </c>
      <c r="E1811" s="1">
        <v>1179271</v>
      </c>
      <c r="F1811" s="2">
        <v>50500</v>
      </c>
    </row>
    <row r="1812" spans="1:6" x14ac:dyDescent="0.35">
      <c r="A1812">
        <v>2017</v>
      </c>
      <c r="B1812" t="s">
        <v>58</v>
      </c>
      <c r="C1812" t="s">
        <v>37</v>
      </c>
      <c r="D1812" s="1">
        <v>4485</v>
      </c>
      <c r="E1812" s="1">
        <v>99581</v>
      </c>
      <c r="F1812" s="2">
        <v>47941</v>
      </c>
    </row>
    <row r="1813" spans="1:6" x14ac:dyDescent="0.35">
      <c r="A1813">
        <v>2017</v>
      </c>
      <c r="B1813" t="s">
        <v>58</v>
      </c>
      <c r="C1813" t="s">
        <v>38</v>
      </c>
      <c r="D1813" s="1">
        <v>11574</v>
      </c>
      <c r="E1813" s="1">
        <v>226255</v>
      </c>
      <c r="F1813" s="2">
        <v>45624</v>
      </c>
    </row>
    <row r="1814" spans="1:6" x14ac:dyDescent="0.35">
      <c r="A1814">
        <v>2017</v>
      </c>
      <c r="B1814" t="s">
        <v>58</v>
      </c>
      <c r="C1814" t="s">
        <v>39</v>
      </c>
      <c r="D1814" s="1">
        <v>2732</v>
      </c>
      <c r="E1814" s="1">
        <v>66629</v>
      </c>
      <c r="F1814" s="2">
        <v>49512</v>
      </c>
    </row>
    <row r="1815" spans="1:6" x14ac:dyDescent="0.35">
      <c r="A1815">
        <v>2017</v>
      </c>
      <c r="B1815" t="s">
        <v>58</v>
      </c>
      <c r="C1815" t="s">
        <v>40</v>
      </c>
      <c r="D1815" s="1">
        <v>15761</v>
      </c>
      <c r="E1815" s="1">
        <v>416511</v>
      </c>
      <c r="F1815" s="2">
        <v>50938</v>
      </c>
    </row>
    <row r="1816" spans="1:6" x14ac:dyDescent="0.35">
      <c r="A1816">
        <v>2017</v>
      </c>
      <c r="B1816" t="s">
        <v>58</v>
      </c>
      <c r="C1816" t="s">
        <v>41</v>
      </c>
      <c r="D1816" s="1">
        <v>87635</v>
      </c>
      <c r="E1816" s="1">
        <v>1607487</v>
      </c>
      <c r="F1816" s="2">
        <v>47096</v>
      </c>
    </row>
    <row r="1817" spans="1:6" x14ac:dyDescent="0.35">
      <c r="A1817">
        <v>2017</v>
      </c>
      <c r="B1817" t="s">
        <v>58</v>
      </c>
      <c r="C1817" t="s">
        <v>42</v>
      </c>
      <c r="D1817" s="1">
        <v>11679</v>
      </c>
      <c r="E1817" s="1">
        <v>181402</v>
      </c>
      <c r="F1817" s="2">
        <v>42492</v>
      </c>
    </row>
    <row r="1818" spans="1:6" x14ac:dyDescent="0.35">
      <c r="A1818">
        <v>2017</v>
      </c>
      <c r="B1818" t="s">
        <v>58</v>
      </c>
      <c r="C1818" t="s">
        <v>43</v>
      </c>
      <c r="D1818" s="1">
        <v>2460</v>
      </c>
      <c r="E1818" s="1">
        <v>62109</v>
      </c>
      <c r="F1818" s="2">
        <v>45259</v>
      </c>
    </row>
    <row r="1819" spans="1:6" x14ac:dyDescent="0.35">
      <c r="A1819">
        <v>2017</v>
      </c>
      <c r="B1819" t="s">
        <v>58</v>
      </c>
      <c r="C1819" t="s">
        <v>44</v>
      </c>
      <c r="D1819" s="1">
        <v>42910</v>
      </c>
      <c r="E1819" s="1">
        <v>496944</v>
      </c>
      <c r="F1819" s="2">
        <v>48573</v>
      </c>
    </row>
    <row r="1820" spans="1:6" x14ac:dyDescent="0.35">
      <c r="A1820">
        <v>2017</v>
      </c>
      <c r="B1820" t="s">
        <v>58</v>
      </c>
      <c r="C1820" t="s">
        <v>45</v>
      </c>
      <c r="D1820" s="1">
        <v>56689</v>
      </c>
      <c r="E1820" s="1">
        <v>451563</v>
      </c>
      <c r="F1820" s="2">
        <v>49782</v>
      </c>
    </row>
    <row r="1821" spans="1:6" x14ac:dyDescent="0.35">
      <c r="A1821">
        <v>2017</v>
      </c>
      <c r="B1821" t="s">
        <v>58</v>
      </c>
      <c r="C1821" t="s">
        <v>46</v>
      </c>
      <c r="D1821" s="1">
        <v>5679</v>
      </c>
      <c r="E1821" s="1">
        <v>123772</v>
      </c>
      <c r="F1821" s="2">
        <v>44732</v>
      </c>
    </row>
    <row r="1822" spans="1:6" x14ac:dyDescent="0.35">
      <c r="A1822">
        <v>2017</v>
      </c>
      <c r="B1822" t="s">
        <v>58</v>
      </c>
      <c r="C1822" t="s">
        <v>47</v>
      </c>
      <c r="D1822" s="1">
        <v>25989</v>
      </c>
      <c r="E1822" s="1">
        <v>428367</v>
      </c>
      <c r="F1822" s="2">
        <v>47663</v>
      </c>
    </row>
    <row r="1823" spans="1:6" x14ac:dyDescent="0.35">
      <c r="A1823">
        <v>2017</v>
      </c>
      <c r="B1823" t="s">
        <v>58</v>
      </c>
      <c r="C1823" t="s">
        <v>48</v>
      </c>
      <c r="D1823" s="1">
        <v>3268</v>
      </c>
      <c r="E1823" s="1">
        <v>26479</v>
      </c>
      <c r="F1823" s="2">
        <v>41913</v>
      </c>
    </row>
    <row r="1824" spans="1:6" x14ac:dyDescent="0.35">
      <c r="A1824">
        <v>2017</v>
      </c>
      <c r="B1824" t="s">
        <v>59</v>
      </c>
      <c r="C1824" t="s">
        <v>1</v>
      </c>
      <c r="D1824" s="1">
        <v>10741</v>
      </c>
      <c r="E1824" s="1">
        <v>202336</v>
      </c>
      <c r="F1824" s="2">
        <v>16222</v>
      </c>
    </row>
    <row r="1825" spans="1:6" x14ac:dyDescent="0.35">
      <c r="A1825">
        <v>2017</v>
      </c>
      <c r="B1825" t="s">
        <v>59</v>
      </c>
      <c r="C1825" t="s">
        <v>2</v>
      </c>
      <c r="D1825" s="1">
        <v>12771</v>
      </c>
      <c r="E1825" s="1">
        <v>317076</v>
      </c>
      <c r="F1825" s="2">
        <v>23505</v>
      </c>
    </row>
    <row r="1826" spans="1:6" x14ac:dyDescent="0.35">
      <c r="A1826">
        <v>2017</v>
      </c>
      <c r="B1826" t="s">
        <v>59</v>
      </c>
      <c r="C1826" t="s">
        <v>3</v>
      </c>
      <c r="D1826" s="1">
        <v>7024</v>
      </c>
      <c r="E1826" s="1">
        <v>116690</v>
      </c>
      <c r="F1826" s="2">
        <v>16181</v>
      </c>
    </row>
    <row r="1827" spans="1:6" x14ac:dyDescent="0.35">
      <c r="A1827">
        <v>2017</v>
      </c>
      <c r="B1827" t="s">
        <v>59</v>
      </c>
      <c r="C1827" t="s">
        <v>4</v>
      </c>
      <c r="D1827" s="1">
        <v>103495</v>
      </c>
      <c r="E1827" s="1">
        <v>1935980</v>
      </c>
      <c r="F1827" s="2">
        <v>29214</v>
      </c>
    </row>
    <row r="1828" spans="1:6" x14ac:dyDescent="0.35">
      <c r="A1828">
        <v>2017</v>
      </c>
      <c r="B1828" t="s">
        <v>59</v>
      </c>
      <c r="C1828" t="s">
        <v>5</v>
      </c>
      <c r="D1828" s="1">
        <v>16627</v>
      </c>
      <c r="E1828" s="1">
        <v>333190</v>
      </c>
      <c r="F1828" s="2">
        <v>24462</v>
      </c>
    </row>
    <row r="1829" spans="1:6" x14ac:dyDescent="0.35">
      <c r="A1829">
        <v>2017</v>
      </c>
      <c r="B1829" t="s">
        <v>59</v>
      </c>
      <c r="C1829" t="s">
        <v>6</v>
      </c>
      <c r="D1829" s="1">
        <v>10338</v>
      </c>
      <c r="E1829" s="1">
        <v>156514</v>
      </c>
      <c r="F1829" s="2">
        <v>23066</v>
      </c>
    </row>
    <row r="1830" spans="1:6" x14ac:dyDescent="0.35">
      <c r="A1830">
        <v>2017</v>
      </c>
      <c r="B1830" t="s">
        <v>59</v>
      </c>
      <c r="C1830" t="s">
        <v>7</v>
      </c>
      <c r="D1830" s="1">
        <v>2565</v>
      </c>
      <c r="E1830" s="1">
        <v>50272</v>
      </c>
      <c r="F1830" s="2">
        <v>19997</v>
      </c>
    </row>
    <row r="1831" spans="1:6" x14ac:dyDescent="0.35">
      <c r="A1831">
        <v>2017</v>
      </c>
      <c r="B1831" t="s">
        <v>59</v>
      </c>
      <c r="C1831" t="s">
        <v>8</v>
      </c>
      <c r="D1831" s="1">
        <v>55396</v>
      </c>
      <c r="E1831" s="1">
        <v>1198478</v>
      </c>
      <c r="F1831" s="2">
        <v>24953</v>
      </c>
    </row>
    <row r="1832" spans="1:6" x14ac:dyDescent="0.35">
      <c r="A1832">
        <v>2017</v>
      </c>
      <c r="B1832" t="s">
        <v>59</v>
      </c>
      <c r="C1832" t="s">
        <v>9</v>
      </c>
      <c r="D1832" s="1">
        <v>23538</v>
      </c>
      <c r="E1832" s="1">
        <v>476035</v>
      </c>
      <c r="F1832" s="2">
        <v>20142</v>
      </c>
    </row>
    <row r="1833" spans="1:6" x14ac:dyDescent="0.35">
      <c r="A1833">
        <v>2017</v>
      </c>
      <c r="B1833" t="s">
        <v>59</v>
      </c>
      <c r="C1833" t="s">
        <v>10</v>
      </c>
      <c r="D1833" s="1">
        <v>4906</v>
      </c>
      <c r="E1833" s="1">
        <v>74928</v>
      </c>
      <c r="F1833" s="2">
        <v>16382</v>
      </c>
    </row>
    <row r="1834" spans="1:6" x14ac:dyDescent="0.35">
      <c r="A1834">
        <v>2017</v>
      </c>
      <c r="B1834" t="s">
        <v>59</v>
      </c>
      <c r="C1834" t="s">
        <v>11</v>
      </c>
      <c r="D1834" s="1">
        <v>32076</v>
      </c>
      <c r="E1834" s="1">
        <v>610100</v>
      </c>
      <c r="F1834" s="2">
        <v>22930</v>
      </c>
    </row>
    <row r="1835" spans="1:6" x14ac:dyDescent="0.35">
      <c r="A1835">
        <v>2017</v>
      </c>
      <c r="B1835" t="s">
        <v>59</v>
      </c>
      <c r="C1835" t="s">
        <v>12</v>
      </c>
      <c r="D1835" s="1">
        <v>15273</v>
      </c>
      <c r="E1835" s="1">
        <v>308506</v>
      </c>
      <c r="F1835" s="2">
        <v>18223</v>
      </c>
    </row>
    <row r="1836" spans="1:6" x14ac:dyDescent="0.35">
      <c r="A1836">
        <v>2017</v>
      </c>
      <c r="B1836" t="s">
        <v>59</v>
      </c>
      <c r="C1836" t="s">
        <v>13</v>
      </c>
      <c r="D1836" s="1">
        <v>8532</v>
      </c>
      <c r="E1836" s="1">
        <v>143101</v>
      </c>
      <c r="F1836" s="2">
        <v>16280</v>
      </c>
    </row>
    <row r="1837" spans="1:6" x14ac:dyDescent="0.35">
      <c r="A1837">
        <v>2017</v>
      </c>
      <c r="B1837" t="s">
        <v>59</v>
      </c>
      <c r="C1837" t="s">
        <v>14</v>
      </c>
      <c r="D1837" s="1">
        <v>6839</v>
      </c>
      <c r="E1837" s="1">
        <v>128449</v>
      </c>
      <c r="F1837" s="2">
        <v>16257</v>
      </c>
    </row>
    <row r="1838" spans="1:6" x14ac:dyDescent="0.35">
      <c r="A1838">
        <v>2017</v>
      </c>
      <c r="B1838" t="s">
        <v>59</v>
      </c>
      <c r="C1838" t="s">
        <v>15</v>
      </c>
      <c r="D1838" s="1">
        <v>10063</v>
      </c>
      <c r="E1838" s="1">
        <v>196846</v>
      </c>
      <c r="F1838" s="2">
        <v>17160</v>
      </c>
    </row>
    <row r="1839" spans="1:6" x14ac:dyDescent="0.35">
      <c r="A1839">
        <v>2017</v>
      </c>
      <c r="B1839" t="s">
        <v>59</v>
      </c>
      <c r="C1839" t="s">
        <v>16</v>
      </c>
      <c r="D1839" s="1">
        <v>12015</v>
      </c>
      <c r="E1839" s="1">
        <v>233109</v>
      </c>
      <c r="F1839" s="2">
        <v>20623</v>
      </c>
    </row>
    <row r="1840" spans="1:6" x14ac:dyDescent="0.35">
      <c r="A1840">
        <v>2017</v>
      </c>
      <c r="B1840" t="s">
        <v>59</v>
      </c>
      <c r="C1840" t="s">
        <v>17</v>
      </c>
      <c r="D1840" s="1">
        <v>5119</v>
      </c>
      <c r="E1840" s="1">
        <v>67354</v>
      </c>
      <c r="F1840" s="2">
        <v>21119</v>
      </c>
    </row>
    <row r="1841" spans="1:6" x14ac:dyDescent="0.35">
      <c r="A1841">
        <v>2017</v>
      </c>
      <c r="B1841" t="s">
        <v>59</v>
      </c>
      <c r="C1841" t="s">
        <v>18</v>
      </c>
      <c r="D1841" s="1">
        <v>14733</v>
      </c>
      <c r="E1841" s="1">
        <v>280195</v>
      </c>
      <c r="F1841" s="2">
        <v>23436</v>
      </c>
    </row>
    <row r="1842" spans="1:6" x14ac:dyDescent="0.35">
      <c r="A1842">
        <v>2017</v>
      </c>
      <c r="B1842" t="s">
        <v>59</v>
      </c>
      <c r="C1842" t="s">
        <v>19</v>
      </c>
      <c r="D1842" s="1">
        <v>20695</v>
      </c>
      <c r="E1842" s="1">
        <v>369350</v>
      </c>
      <c r="F1842" s="2">
        <v>26779</v>
      </c>
    </row>
    <row r="1843" spans="1:6" x14ac:dyDescent="0.35">
      <c r="A1843">
        <v>2017</v>
      </c>
      <c r="B1843" t="s">
        <v>59</v>
      </c>
      <c r="C1843" t="s">
        <v>20</v>
      </c>
      <c r="D1843" s="1">
        <v>21783</v>
      </c>
      <c r="E1843" s="1">
        <v>431316</v>
      </c>
      <c r="F1843" s="2">
        <v>19834</v>
      </c>
    </row>
    <row r="1844" spans="1:6" x14ac:dyDescent="0.35">
      <c r="A1844">
        <v>2017</v>
      </c>
      <c r="B1844" t="s">
        <v>59</v>
      </c>
      <c r="C1844" t="s">
        <v>21</v>
      </c>
      <c r="D1844" s="1">
        <v>14729</v>
      </c>
      <c r="E1844" s="1">
        <v>270490</v>
      </c>
      <c r="F1844" s="2">
        <v>21386</v>
      </c>
    </row>
    <row r="1845" spans="1:6" x14ac:dyDescent="0.35">
      <c r="A1845">
        <v>2017</v>
      </c>
      <c r="B1845" t="s">
        <v>59</v>
      </c>
      <c r="C1845" t="s">
        <v>22</v>
      </c>
      <c r="D1845" s="1">
        <v>6381</v>
      </c>
      <c r="E1845" s="1">
        <v>134613</v>
      </c>
      <c r="F1845" s="2">
        <v>17011</v>
      </c>
    </row>
    <row r="1846" spans="1:6" x14ac:dyDescent="0.35">
      <c r="A1846">
        <v>2017</v>
      </c>
      <c r="B1846" t="s">
        <v>59</v>
      </c>
      <c r="C1846" t="s">
        <v>23</v>
      </c>
      <c r="D1846" s="1">
        <v>14797</v>
      </c>
      <c r="E1846" s="1">
        <v>303022</v>
      </c>
      <c r="F1846" s="2">
        <v>20276</v>
      </c>
    </row>
    <row r="1847" spans="1:6" x14ac:dyDescent="0.35">
      <c r="A1847">
        <v>2017</v>
      </c>
      <c r="B1847" t="s">
        <v>59</v>
      </c>
      <c r="C1847" t="s">
        <v>24</v>
      </c>
      <c r="D1847" s="1">
        <v>4978</v>
      </c>
      <c r="E1847" s="1">
        <v>64958</v>
      </c>
      <c r="F1847" s="2">
        <v>18625</v>
      </c>
    </row>
    <row r="1848" spans="1:6" x14ac:dyDescent="0.35">
      <c r="A1848">
        <v>2017</v>
      </c>
      <c r="B1848" t="s">
        <v>59</v>
      </c>
      <c r="C1848" t="s">
        <v>25</v>
      </c>
      <c r="D1848" s="1">
        <v>5508</v>
      </c>
      <c r="E1848" s="1">
        <v>91776</v>
      </c>
      <c r="F1848" s="2">
        <v>16253</v>
      </c>
    </row>
    <row r="1849" spans="1:6" x14ac:dyDescent="0.35">
      <c r="A1849">
        <v>2017</v>
      </c>
      <c r="B1849" t="s">
        <v>59</v>
      </c>
      <c r="C1849" t="s">
        <v>26</v>
      </c>
      <c r="D1849" s="1">
        <v>8246</v>
      </c>
      <c r="E1849" s="1">
        <v>348888</v>
      </c>
      <c r="F1849" s="2">
        <v>33048</v>
      </c>
    </row>
    <row r="1850" spans="1:6" x14ac:dyDescent="0.35">
      <c r="A1850">
        <v>2017</v>
      </c>
      <c r="B1850" t="s">
        <v>59</v>
      </c>
      <c r="C1850" t="s">
        <v>27</v>
      </c>
      <c r="D1850" s="1">
        <v>4512</v>
      </c>
      <c r="E1850" s="1">
        <v>70729</v>
      </c>
      <c r="F1850" s="2">
        <v>21058</v>
      </c>
    </row>
    <row r="1851" spans="1:6" x14ac:dyDescent="0.35">
      <c r="A1851">
        <v>2017</v>
      </c>
      <c r="B1851" t="s">
        <v>59</v>
      </c>
      <c r="C1851" t="s">
        <v>28</v>
      </c>
      <c r="D1851" s="1">
        <v>23501</v>
      </c>
      <c r="E1851" s="1">
        <v>372798</v>
      </c>
      <c r="F1851" s="2">
        <v>24851</v>
      </c>
    </row>
    <row r="1852" spans="1:6" x14ac:dyDescent="0.35">
      <c r="A1852">
        <v>2017</v>
      </c>
      <c r="B1852" t="s">
        <v>59</v>
      </c>
      <c r="C1852" t="s">
        <v>29</v>
      </c>
      <c r="D1852" s="1">
        <v>4929</v>
      </c>
      <c r="E1852" s="1">
        <v>96321</v>
      </c>
      <c r="F1852" s="2">
        <v>17901</v>
      </c>
    </row>
    <row r="1853" spans="1:6" x14ac:dyDescent="0.35">
      <c r="A1853">
        <v>2017</v>
      </c>
      <c r="B1853" t="s">
        <v>59</v>
      </c>
      <c r="C1853" t="s">
        <v>30</v>
      </c>
      <c r="D1853" s="1">
        <v>66166</v>
      </c>
      <c r="E1853" s="1">
        <v>944545</v>
      </c>
      <c r="F1853" s="2">
        <v>32365</v>
      </c>
    </row>
    <row r="1854" spans="1:6" x14ac:dyDescent="0.35">
      <c r="A1854">
        <v>2017</v>
      </c>
      <c r="B1854" t="s">
        <v>59</v>
      </c>
      <c r="C1854" t="s">
        <v>31</v>
      </c>
      <c r="D1854" s="1">
        <v>25235</v>
      </c>
      <c r="E1854" s="1">
        <v>493758</v>
      </c>
      <c r="F1854" s="2">
        <v>19111</v>
      </c>
    </row>
    <row r="1855" spans="1:6" x14ac:dyDescent="0.35">
      <c r="A1855">
        <v>2017</v>
      </c>
      <c r="B1855" t="s">
        <v>59</v>
      </c>
      <c r="C1855" t="s">
        <v>32</v>
      </c>
      <c r="D1855" s="1">
        <v>2600</v>
      </c>
      <c r="E1855" s="1">
        <v>39316</v>
      </c>
      <c r="F1855" s="2">
        <v>17400</v>
      </c>
    </row>
    <row r="1856" spans="1:6" x14ac:dyDescent="0.35">
      <c r="A1856">
        <v>2017</v>
      </c>
      <c r="B1856" t="s">
        <v>59</v>
      </c>
      <c r="C1856" t="s">
        <v>33</v>
      </c>
      <c r="D1856" s="1">
        <v>28218</v>
      </c>
      <c r="E1856" s="1">
        <v>560257</v>
      </c>
      <c r="F1856" s="2">
        <v>18856</v>
      </c>
    </row>
    <row r="1857" spans="1:6" x14ac:dyDescent="0.35">
      <c r="A1857">
        <v>2017</v>
      </c>
      <c r="B1857" t="s">
        <v>59</v>
      </c>
      <c r="C1857" t="s">
        <v>34</v>
      </c>
      <c r="D1857" s="1">
        <v>8969</v>
      </c>
      <c r="E1857" s="1">
        <v>167540</v>
      </c>
      <c r="F1857" s="2">
        <v>17729</v>
      </c>
    </row>
    <row r="1858" spans="1:6" x14ac:dyDescent="0.35">
      <c r="A1858">
        <v>2017</v>
      </c>
      <c r="B1858" t="s">
        <v>59</v>
      </c>
      <c r="C1858" t="s">
        <v>35</v>
      </c>
      <c r="D1858" s="1">
        <v>13588</v>
      </c>
      <c r="E1858" s="1">
        <v>205823</v>
      </c>
      <c r="F1858" s="2">
        <v>21379</v>
      </c>
    </row>
    <row r="1859" spans="1:6" x14ac:dyDescent="0.35">
      <c r="A1859">
        <v>2017</v>
      </c>
      <c r="B1859" t="s">
        <v>59</v>
      </c>
      <c r="C1859" t="s">
        <v>36</v>
      </c>
      <c r="D1859" s="1">
        <v>33146</v>
      </c>
      <c r="E1859" s="1">
        <v>566779</v>
      </c>
      <c r="F1859" s="2">
        <v>20389</v>
      </c>
    </row>
    <row r="1860" spans="1:6" x14ac:dyDescent="0.35">
      <c r="A1860">
        <v>2017</v>
      </c>
      <c r="B1860" t="s">
        <v>59</v>
      </c>
      <c r="C1860" t="s">
        <v>37</v>
      </c>
      <c r="D1860" s="1">
        <v>3683</v>
      </c>
      <c r="E1860" s="1">
        <v>58183</v>
      </c>
      <c r="F1860" s="2">
        <v>22353</v>
      </c>
    </row>
    <row r="1861" spans="1:6" x14ac:dyDescent="0.35">
      <c r="A1861">
        <v>2017</v>
      </c>
      <c r="B1861" t="s">
        <v>59</v>
      </c>
      <c r="C1861" t="s">
        <v>38</v>
      </c>
      <c r="D1861" s="1">
        <v>12337</v>
      </c>
      <c r="E1861" s="1">
        <v>254069</v>
      </c>
      <c r="F1861" s="2">
        <v>17885</v>
      </c>
    </row>
    <row r="1862" spans="1:6" x14ac:dyDescent="0.35">
      <c r="A1862">
        <v>2017</v>
      </c>
      <c r="B1862" t="s">
        <v>59</v>
      </c>
      <c r="C1862" t="s">
        <v>39</v>
      </c>
      <c r="D1862" s="1">
        <v>3109</v>
      </c>
      <c r="E1862" s="1">
        <v>46967</v>
      </c>
      <c r="F1862" s="2">
        <v>16460</v>
      </c>
    </row>
    <row r="1863" spans="1:6" x14ac:dyDescent="0.35">
      <c r="A1863">
        <v>2017</v>
      </c>
      <c r="B1863" t="s">
        <v>59</v>
      </c>
      <c r="C1863" t="s">
        <v>40</v>
      </c>
      <c r="D1863" s="1">
        <v>15932</v>
      </c>
      <c r="E1863" s="1">
        <v>328856</v>
      </c>
      <c r="F1863" s="2">
        <v>22398</v>
      </c>
    </row>
    <row r="1864" spans="1:6" x14ac:dyDescent="0.35">
      <c r="A1864">
        <v>2017</v>
      </c>
      <c r="B1864" t="s">
        <v>59</v>
      </c>
      <c r="C1864" t="s">
        <v>41</v>
      </c>
      <c r="D1864" s="1">
        <v>60744</v>
      </c>
      <c r="E1864" s="1">
        <v>1317762</v>
      </c>
      <c r="F1864" s="2">
        <v>21234</v>
      </c>
    </row>
    <row r="1865" spans="1:6" x14ac:dyDescent="0.35">
      <c r="A1865">
        <v>2017</v>
      </c>
      <c r="B1865" t="s">
        <v>59</v>
      </c>
      <c r="C1865" t="s">
        <v>42</v>
      </c>
      <c r="D1865" s="1">
        <v>7068</v>
      </c>
      <c r="E1865" s="1">
        <v>142985</v>
      </c>
      <c r="F1865" s="2">
        <v>19510</v>
      </c>
    </row>
    <row r="1866" spans="1:6" x14ac:dyDescent="0.35">
      <c r="A1866">
        <v>2017</v>
      </c>
      <c r="B1866" t="s">
        <v>59</v>
      </c>
      <c r="C1866" t="s">
        <v>43</v>
      </c>
      <c r="D1866" s="1">
        <v>2266</v>
      </c>
      <c r="E1866" s="1">
        <v>37337</v>
      </c>
      <c r="F1866" s="2">
        <v>22375</v>
      </c>
    </row>
    <row r="1867" spans="1:6" x14ac:dyDescent="0.35">
      <c r="A1867">
        <v>2017</v>
      </c>
      <c r="B1867" t="s">
        <v>59</v>
      </c>
      <c r="C1867" t="s">
        <v>44</v>
      </c>
      <c r="D1867" s="1">
        <v>20269</v>
      </c>
      <c r="E1867" s="1">
        <v>402475</v>
      </c>
      <c r="F1867" s="2">
        <v>20078</v>
      </c>
    </row>
    <row r="1868" spans="1:6" x14ac:dyDescent="0.35">
      <c r="A1868">
        <v>2017</v>
      </c>
      <c r="B1868" t="s">
        <v>59</v>
      </c>
      <c r="C1868" t="s">
        <v>45</v>
      </c>
      <c r="D1868" s="1">
        <v>20065</v>
      </c>
      <c r="E1868" s="1">
        <v>325141</v>
      </c>
      <c r="F1868" s="2">
        <v>24250</v>
      </c>
    </row>
    <row r="1869" spans="1:6" x14ac:dyDescent="0.35">
      <c r="A1869">
        <v>2017</v>
      </c>
      <c r="B1869" t="s">
        <v>59</v>
      </c>
      <c r="C1869" t="s">
        <v>46</v>
      </c>
      <c r="D1869" s="1">
        <v>4646</v>
      </c>
      <c r="E1869" s="1">
        <v>74275</v>
      </c>
      <c r="F1869" s="2">
        <v>17335</v>
      </c>
    </row>
    <row r="1870" spans="1:6" x14ac:dyDescent="0.35">
      <c r="A1870">
        <v>2017</v>
      </c>
      <c r="B1870" t="s">
        <v>59</v>
      </c>
      <c r="C1870" t="s">
        <v>47</v>
      </c>
      <c r="D1870" s="1">
        <v>16599</v>
      </c>
      <c r="E1870" s="1">
        <v>279749</v>
      </c>
      <c r="F1870" s="2">
        <v>17248</v>
      </c>
    </row>
    <row r="1871" spans="1:6" x14ac:dyDescent="0.35">
      <c r="A1871">
        <v>2017</v>
      </c>
      <c r="B1871" t="s">
        <v>59</v>
      </c>
      <c r="C1871" t="s">
        <v>48</v>
      </c>
      <c r="D1871" s="1">
        <v>2355</v>
      </c>
      <c r="E1871" s="1">
        <v>36297</v>
      </c>
      <c r="F1871" s="2">
        <v>19867</v>
      </c>
    </row>
    <row r="1872" spans="1:6" x14ac:dyDescent="0.35">
      <c r="A1872">
        <v>2017</v>
      </c>
      <c r="B1872" t="s">
        <v>60</v>
      </c>
      <c r="C1872" t="s">
        <v>1</v>
      </c>
      <c r="D1872" s="1">
        <v>9603</v>
      </c>
      <c r="E1872" s="1">
        <v>45296</v>
      </c>
      <c r="F1872" s="2">
        <v>36539</v>
      </c>
    </row>
    <row r="1873" spans="1:6" x14ac:dyDescent="0.35">
      <c r="A1873">
        <v>2017</v>
      </c>
      <c r="B1873" t="s">
        <v>60</v>
      </c>
      <c r="C1873" t="s">
        <v>2</v>
      </c>
      <c r="D1873" s="1">
        <v>10297</v>
      </c>
      <c r="E1873" s="1">
        <v>71320</v>
      </c>
      <c r="F1873" s="2">
        <v>37061</v>
      </c>
    </row>
    <row r="1874" spans="1:6" x14ac:dyDescent="0.35">
      <c r="A1874">
        <v>2017</v>
      </c>
      <c r="B1874" t="s">
        <v>60</v>
      </c>
      <c r="C1874" t="s">
        <v>3</v>
      </c>
      <c r="D1874" s="1">
        <v>5315</v>
      </c>
      <c r="E1874" s="1">
        <v>24804</v>
      </c>
      <c r="F1874" s="2">
        <v>33179</v>
      </c>
    </row>
    <row r="1875" spans="1:6" x14ac:dyDescent="0.35">
      <c r="A1875">
        <v>2017</v>
      </c>
      <c r="B1875" t="s">
        <v>60</v>
      </c>
      <c r="C1875" t="s">
        <v>4</v>
      </c>
      <c r="D1875" s="1">
        <v>88470</v>
      </c>
      <c r="E1875" s="1">
        <v>527915</v>
      </c>
      <c r="F1875" s="2">
        <v>40412</v>
      </c>
    </row>
    <row r="1876" spans="1:6" x14ac:dyDescent="0.35">
      <c r="A1876">
        <v>2017</v>
      </c>
      <c r="B1876" t="s">
        <v>60</v>
      </c>
      <c r="C1876" t="s">
        <v>5</v>
      </c>
      <c r="D1876" s="1">
        <v>15777</v>
      </c>
      <c r="E1876" s="1">
        <v>80034</v>
      </c>
      <c r="F1876" s="2">
        <v>39558</v>
      </c>
    </row>
    <row r="1877" spans="1:6" x14ac:dyDescent="0.35">
      <c r="A1877">
        <v>2017</v>
      </c>
      <c r="B1877" t="s">
        <v>60</v>
      </c>
      <c r="C1877" t="s">
        <v>6</v>
      </c>
      <c r="D1877" s="1">
        <v>16529</v>
      </c>
      <c r="E1877" s="1">
        <v>64279</v>
      </c>
      <c r="F1877" s="2">
        <v>33397</v>
      </c>
    </row>
    <row r="1878" spans="1:6" x14ac:dyDescent="0.35">
      <c r="A1878">
        <v>2017</v>
      </c>
      <c r="B1878" t="s">
        <v>60</v>
      </c>
      <c r="C1878" t="s">
        <v>7</v>
      </c>
      <c r="D1878" s="1">
        <v>2003</v>
      </c>
      <c r="E1878" s="1">
        <v>11881</v>
      </c>
      <c r="F1878" s="2">
        <v>33610</v>
      </c>
    </row>
    <row r="1879" spans="1:6" x14ac:dyDescent="0.35">
      <c r="A1879">
        <v>2017</v>
      </c>
      <c r="B1879" t="s">
        <v>60</v>
      </c>
      <c r="C1879" t="s">
        <v>8</v>
      </c>
      <c r="D1879" s="1">
        <v>54928</v>
      </c>
      <c r="E1879" s="1">
        <v>273903</v>
      </c>
      <c r="F1879" s="2">
        <v>35319</v>
      </c>
    </row>
    <row r="1880" spans="1:6" x14ac:dyDescent="0.35">
      <c r="A1880">
        <v>2017</v>
      </c>
      <c r="B1880" t="s">
        <v>60</v>
      </c>
      <c r="C1880" t="s">
        <v>9</v>
      </c>
      <c r="D1880" s="1">
        <v>18097</v>
      </c>
      <c r="E1880" s="1">
        <v>106445</v>
      </c>
      <c r="F1880" s="2">
        <v>35520</v>
      </c>
    </row>
    <row r="1881" spans="1:6" x14ac:dyDescent="0.35">
      <c r="A1881">
        <v>2017</v>
      </c>
      <c r="B1881" t="s">
        <v>60</v>
      </c>
      <c r="C1881" t="s">
        <v>10</v>
      </c>
      <c r="D1881" s="1">
        <v>3888</v>
      </c>
      <c r="E1881" s="1">
        <v>17915</v>
      </c>
      <c r="F1881" s="2">
        <v>30056</v>
      </c>
    </row>
    <row r="1882" spans="1:6" x14ac:dyDescent="0.35">
      <c r="A1882">
        <v>2017</v>
      </c>
      <c r="B1882" t="s">
        <v>60</v>
      </c>
      <c r="C1882" t="s">
        <v>11</v>
      </c>
      <c r="D1882" s="1">
        <v>39500</v>
      </c>
      <c r="E1882" s="1">
        <v>206494</v>
      </c>
      <c r="F1882" s="2">
        <v>41240</v>
      </c>
    </row>
    <row r="1883" spans="1:6" x14ac:dyDescent="0.35">
      <c r="A1883">
        <v>2017</v>
      </c>
      <c r="B1883" t="s">
        <v>60</v>
      </c>
      <c r="C1883" t="s">
        <v>12</v>
      </c>
      <c r="D1883" s="1">
        <v>13113</v>
      </c>
      <c r="E1883" s="1">
        <v>86944</v>
      </c>
      <c r="F1883" s="2">
        <v>31882</v>
      </c>
    </row>
    <row r="1884" spans="1:6" x14ac:dyDescent="0.35">
      <c r="A1884">
        <v>2017</v>
      </c>
      <c r="B1884" t="s">
        <v>60</v>
      </c>
      <c r="C1884" t="s">
        <v>13</v>
      </c>
      <c r="D1884" s="1">
        <v>8710</v>
      </c>
      <c r="E1884" s="1">
        <v>42498</v>
      </c>
      <c r="F1884" s="2">
        <v>33069</v>
      </c>
    </row>
    <row r="1885" spans="1:6" x14ac:dyDescent="0.35">
      <c r="A1885">
        <v>2017</v>
      </c>
      <c r="B1885" t="s">
        <v>60</v>
      </c>
      <c r="C1885" t="s">
        <v>14</v>
      </c>
      <c r="D1885" s="1">
        <v>6031</v>
      </c>
      <c r="E1885" s="1">
        <v>33578</v>
      </c>
      <c r="F1885" s="2">
        <v>33575</v>
      </c>
    </row>
    <row r="1886" spans="1:6" x14ac:dyDescent="0.35">
      <c r="A1886">
        <v>2017</v>
      </c>
      <c r="B1886" t="s">
        <v>60</v>
      </c>
      <c r="C1886" t="s">
        <v>15</v>
      </c>
      <c r="D1886" s="1">
        <v>10912</v>
      </c>
      <c r="E1886" s="1">
        <v>46382</v>
      </c>
      <c r="F1886" s="2">
        <v>32330</v>
      </c>
    </row>
    <row r="1887" spans="1:6" x14ac:dyDescent="0.35">
      <c r="A1887">
        <v>2017</v>
      </c>
      <c r="B1887" t="s">
        <v>60</v>
      </c>
      <c r="C1887" t="s">
        <v>16</v>
      </c>
      <c r="D1887" s="1">
        <v>9250</v>
      </c>
      <c r="E1887" s="1">
        <v>45963</v>
      </c>
      <c r="F1887" s="2">
        <v>36468</v>
      </c>
    </row>
    <row r="1888" spans="1:6" x14ac:dyDescent="0.35">
      <c r="A1888">
        <v>2017</v>
      </c>
      <c r="B1888" t="s">
        <v>60</v>
      </c>
      <c r="C1888" t="s">
        <v>17</v>
      </c>
      <c r="D1888" s="1">
        <v>4028</v>
      </c>
      <c r="E1888" s="1">
        <v>17774</v>
      </c>
      <c r="F1888" s="2">
        <v>32993</v>
      </c>
    </row>
    <row r="1889" spans="1:6" x14ac:dyDescent="0.35">
      <c r="A1889">
        <v>2017</v>
      </c>
      <c r="B1889" t="s">
        <v>60</v>
      </c>
      <c r="C1889" t="s">
        <v>18</v>
      </c>
      <c r="D1889" s="1">
        <v>19506</v>
      </c>
      <c r="E1889" s="1">
        <v>91492</v>
      </c>
      <c r="F1889" s="2">
        <v>41793</v>
      </c>
    </row>
    <row r="1890" spans="1:6" x14ac:dyDescent="0.35">
      <c r="A1890">
        <v>2017</v>
      </c>
      <c r="B1890" t="s">
        <v>60</v>
      </c>
      <c r="C1890" t="s">
        <v>19</v>
      </c>
      <c r="D1890" s="1">
        <v>21677</v>
      </c>
      <c r="E1890" s="1">
        <v>118160</v>
      </c>
      <c r="F1890" s="2">
        <v>37032</v>
      </c>
    </row>
    <row r="1891" spans="1:6" x14ac:dyDescent="0.35">
      <c r="A1891">
        <v>2017</v>
      </c>
      <c r="B1891" t="s">
        <v>60</v>
      </c>
      <c r="C1891" t="s">
        <v>20</v>
      </c>
      <c r="D1891" s="1">
        <v>29930</v>
      </c>
      <c r="E1891" s="1">
        <v>137568</v>
      </c>
      <c r="F1891" s="2">
        <v>32157</v>
      </c>
    </row>
    <row r="1892" spans="1:6" x14ac:dyDescent="0.35">
      <c r="A1892">
        <v>2017</v>
      </c>
      <c r="B1892" t="s">
        <v>60</v>
      </c>
      <c r="C1892" t="s">
        <v>21</v>
      </c>
      <c r="D1892" s="1">
        <v>16226</v>
      </c>
      <c r="E1892" s="1">
        <v>90138</v>
      </c>
      <c r="F1892" s="2">
        <v>33237</v>
      </c>
    </row>
    <row r="1893" spans="1:6" x14ac:dyDescent="0.35">
      <c r="A1893">
        <v>2017</v>
      </c>
      <c r="B1893" t="s">
        <v>60</v>
      </c>
      <c r="C1893" t="s">
        <v>22</v>
      </c>
      <c r="D1893" s="1">
        <v>4726</v>
      </c>
      <c r="E1893" s="1">
        <v>21154</v>
      </c>
      <c r="F1893" s="2">
        <v>33958</v>
      </c>
    </row>
    <row r="1894" spans="1:6" x14ac:dyDescent="0.35">
      <c r="A1894">
        <v>2017</v>
      </c>
      <c r="B1894" t="s">
        <v>60</v>
      </c>
      <c r="C1894" t="s">
        <v>23</v>
      </c>
      <c r="D1894" s="1">
        <v>13734</v>
      </c>
      <c r="E1894" s="1">
        <v>76037</v>
      </c>
      <c r="F1894" s="2">
        <v>32705</v>
      </c>
    </row>
    <row r="1895" spans="1:6" x14ac:dyDescent="0.35">
      <c r="A1895">
        <v>2017</v>
      </c>
      <c r="B1895" t="s">
        <v>60</v>
      </c>
      <c r="C1895" t="s">
        <v>24</v>
      </c>
      <c r="D1895" s="1">
        <v>4094</v>
      </c>
      <c r="E1895" s="1">
        <v>17909</v>
      </c>
      <c r="F1895" s="2">
        <v>29177</v>
      </c>
    </row>
    <row r="1896" spans="1:6" x14ac:dyDescent="0.35">
      <c r="A1896">
        <v>2017</v>
      </c>
      <c r="B1896" t="s">
        <v>60</v>
      </c>
      <c r="C1896" t="s">
        <v>25</v>
      </c>
      <c r="D1896" s="1">
        <v>4671</v>
      </c>
      <c r="E1896" s="1">
        <v>25082</v>
      </c>
      <c r="F1896" s="2">
        <v>31310</v>
      </c>
    </row>
    <row r="1897" spans="1:6" x14ac:dyDescent="0.35">
      <c r="A1897">
        <v>2017</v>
      </c>
      <c r="B1897" t="s">
        <v>60</v>
      </c>
      <c r="C1897" t="s">
        <v>26</v>
      </c>
      <c r="D1897" s="1">
        <v>4959</v>
      </c>
      <c r="E1897" s="1">
        <v>33667</v>
      </c>
      <c r="F1897" s="2">
        <v>36336</v>
      </c>
    </row>
    <row r="1898" spans="1:6" x14ac:dyDescent="0.35">
      <c r="A1898">
        <v>2017</v>
      </c>
      <c r="B1898" t="s">
        <v>60</v>
      </c>
      <c r="C1898" t="s">
        <v>27</v>
      </c>
      <c r="D1898" s="1">
        <v>3871</v>
      </c>
      <c r="E1898" s="1">
        <v>20493</v>
      </c>
      <c r="F1898" s="2">
        <v>36646</v>
      </c>
    </row>
    <row r="1899" spans="1:6" x14ac:dyDescent="0.35">
      <c r="A1899">
        <v>2017</v>
      </c>
      <c r="B1899" t="s">
        <v>60</v>
      </c>
      <c r="C1899" t="s">
        <v>28</v>
      </c>
      <c r="D1899" s="1">
        <v>25881</v>
      </c>
      <c r="E1899" s="1">
        <v>136480</v>
      </c>
      <c r="F1899" s="2">
        <v>35059</v>
      </c>
    </row>
    <row r="1900" spans="1:6" x14ac:dyDescent="0.35">
      <c r="A1900">
        <v>2017</v>
      </c>
      <c r="B1900" t="s">
        <v>60</v>
      </c>
      <c r="C1900" t="s">
        <v>29</v>
      </c>
      <c r="D1900" s="1">
        <v>3961</v>
      </c>
      <c r="E1900" s="1">
        <v>20593</v>
      </c>
      <c r="F1900" s="2">
        <v>32578</v>
      </c>
    </row>
    <row r="1901" spans="1:6" x14ac:dyDescent="0.35">
      <c r="A1901">
        <v>2017</v>
      </c>
      <c r="B1901" t="s">
        <v>60</v>
      </c>
      <c r="C1901" t="s">
        <v>30</v>
      </c>
      <c r="D1901" s="1">
        <v>74536</v>
      </c>
      <c r="E1901" s="1">
        <v>369805</v>
      </c>
      <c r="F1901" s="2">
        <v>40436</v>
      </c>
    </row>
    <row r="1902" spans="1:6" x14ac:dyDescent="0.35">
      <c r="A1902">
        <v>2017</v>
      </c>
      <c r="B1902" t="s">
        <v>60</v>
      </c>
      <c r="C1902" t="s">
        <v>31</v>
      </c>
      <c r="D1902" s="1">
        <v>23024</v>
      </c>
      <c r="E1902" s="1">
        <v>107404</v>
      </c>
      <c r="F1902" s="2">
        <v>33978</v>
      </c>
    </row>
    <row r="1903" spans="1:6" x14ac:dyDescent="0.35">
      <c r="A1903">
        <v>2017</v>
      </c>
      <c r="B1903" t="s">
        <v>60</v>
      </c>
      <c r="C1903" t="s">
        <v>32</v>
      </c>
      <c r="D1903" s="1">
        <v>2040</v>
      </c>
      <c r="E1903" s="1">
        <v>12231</v>
      </c>
      <c r="F1903" s="2">
        <v>34167</v>
      </c>
    </row>
    <row r="1904" spans="1:6" x14ac:dyDescent="0.35">
      <c r="A1904">
        <v>2017</v>
      </c>
      <c r="B1904" t="s">
        <v>60</v>
      </c>
      <c r="C1904" t="s">
        <v>33</v>
      </c>
      <c r="D1904" s="1">
        <v>23601</v>
      </c>
      <c r="E1904" s="1">
        <v>155257</v>
      </c>
      <c r="F1904" s="2">
        <v>33039</v>
      </c>
    </row>
    <row r="1905" spans="1:6" x14ac:dyDescent="0.35">
      <c r="A1905">
        <v>2017</v>
      </c>
      <c r="B1905" t="s">
        <v>60</v>
      </c>
      <c r="C1905" t="s">
        <v>34</v>
      </c>
      <c r="D1905" s="1">
        <v>6751</v>
      </c>
      <c r="E1905" s="1">
        <v>35772</v>
      </c>
      <c r="F1905" s="2">
        <v>34306</v>
      </c>
    </row>
    <row r="1906" spans="1:6" x14ac:dyDescent="0.35">
      <c r="A1906">
        <v>2017</v>
      </c>
      <c r="B1906" t="s">
        <v>60</v>
      </c>
      <c r="C1906" t="s">
        <v>35</v>
      </c>
      <c r="D1906" s="1">
        <v>22753</v>
      </c>
      <c r="E1906" s="1">
        <v>77028</v>
      </c>
      <c r="F1906" s="2">
        <v>31901</v>
      </c>
    </row>
    <row r="1907" spans="1:6" x14ac:dyDescent="0.35">
      <c r="A1907">
        <v>2017</v>
      </c>
      <c r="B1907" t="s">
        <v>60</v>
      </c>
      <c r="C1907" t="s">
        <v>36</v>
      </c>
      <c r="D1907" s="1">
        <v>32259</v>
      </c>
      <c r="E1907" s="1">
        <v>197527</v>
      </c>
      <c r="F1907" s="2">
        <v>32593</v>
      </c>
    </row>
    <row r="1908" spans="1:6" x14ac:dyDescent="0.35">
      <c r="A1908">
        <v>2017</v>
      </c>
      <c r="B1908" t="s">
        <v>60</v>
      </c>
      <c r="C1908" t="s">
        <v>37</v>
      </c>
      <c r="D1908" s="1">
        <v>3395</v>
      </c>
      <c r="E1908" s="1">
        <v>17959</v>
      </c>
      <c r="F1908" s="2">
        <v>32566</v>
      </c>
    </row>
    <row r="1909" spans="1:6" x14ac:dyDescent="0.35">
      <c r="A1909">
        <v>2017</v>
      </c>
      <c r="B1909" t="s">
        <v>60</v>
      </c>
      <c r="C1909" t="s">
        <v>38</v>
      </c>
      <c r="D1909" s="1">
        <v>11490</v>
      </c>
      <c r="E1909" s="1">
        <v>51779</v>
      </c>
      <c r="F1909" s="2">
        <v>32842</v>
      </c>
    </row>
    <row r="1910" spans="1:6" x14ac:dyDescent="0.35">
      <c r="A1910">
        <v>2017</v>
      </c>
      <c r="B1910" t="s">
        <v>60</v>
      </c>
      <c r="C1910" t="s">
        <v>39</v>
      </c>
      <c r="D1910" s="1">
        <v>2171</v>
      </c>
      <c r="E1910" s="1">
        <v>11078</v>
      </c>
      <c r="F1910" s="2">
        <v>31403</v>
      </c>
    </row>
    <row r="1911" spans="1:6" x14ac:dyDescent="0.35">
      <c r="A1911">
        <v>2017</v>
      </c>
      <c r="B1911" t="s">
        <v>60</v>
      </c>
      <c r="C1911" t="s">
        <v>40</v>
      </c>
      <c r="D1911" s="1">
        <v>14618</v>
      </c>
      <c r="E1911" s="1">
        <v>76045</v>
      </c>
      <c r="F1911" s="2">
        <v>34443</v>
      </c>
    </row>
    <row r="1912" spans="1:6" x14ac:dyDescent="0.35">
      <c r="A1912">
        <v>2017</v>
      </c>
      <c r="B1912" t="s">
        <v>60</v>
      </c>
      <c r="C1912" t="s">
        <v>41</v>
      </c>
      <c r="D1912" s="1">
        <v>56060</v>
      </c>
      <c r="E1912" s="1">
        <v>328026</v>
      </c>
      <c r="F1912" s="2">
        <v>37841</v>
      </c>
    </row>
    <row r="1913" spans="1:6" x14ac:dyDescent="0.35">
      <c r="A1913">
        <v>2017</v>
      </c>
      <c r="B1913" t="s">
        <v>60</v>
      </c>
      <c r="C1913" t="s">
        <v>42</v>
      </c>
      <c r="D1913" s="1">
        <v>6084</v>
      </c>
      <c r="E1913" s="1">
        <v>35143</v>
      </c>
      <c r="F1913" s="2">
        <v>34421</v>
      </c>
    </row>
    <row r="1914" spans="1:6" x14ac:dyDescent="0.35">
      <c r="A1914">
        <v>2017</v>
      </c>
      <c r="B1914" t="s">
        <v>60</v>
      </c>
      <c r="C1914" t="s">
        <v>43</v>
      </c>
      <c r="D1914" s="1">
        <v>1958</v>
      </c>
      <c r="E1914" s="1">
        <v>8658</v>
      </c>
      <c r="F1914" s="2">
        <v>34757</v>
      </c>
    </row>
    <row r="1915" spans="1:6" x14ac:dyDescent="0.35">
      <c r="A1915">
        <v>2017</v>
      </c>
      <c r="B1915" t="s">
        <v>60</v>
      </c>
      <c r="C1915" t="s">
        <v>44</v>
      </c>
      <c r="D1915" s="1">
        <v>32154</v>
      </c>
      <c r="E1915" s="1">
        <v>141985</v>
      </c>
      <c r="F1915" s="2">
        <v>42290</v>
      </c>
    </row>
    <row r="1916" spans="1:6" x14ac:dyDescent="0.35">
      <c r="A1916">
        <v>2017</v>
      </c>
      <c r="B1916" t="s">
        <v>60</v>
      </c>
      <c r="C1916" t="s">
        <v>45</v>
      </c>
      <c r="D1916" s="1">
        <v>19701</v>
      </c>
      <c r="E1916" s="1">
        <v>97492</v>
      </c>
      <c r="F1916" s="2">
        <v>38822</v>
      </c>
    </row>
    <row r="1917" spans="1:6" x14ac:dyDescent="0.35">
      <c r="A1917">
        <v>2017</v>
      </c>
      <c r="B1917" t="s">
        <v>60</v>
      </c>
      <c r="C1917" t="s">
        <v>46</v>
      </c>
      <c r="D1917" s="1">
        <v>5237</v>
      </c>
      <c r="E1917" s="1">
        <v>19979</v>
      </c>
      <c r="F1917" s="2">
        <v>29927</v>
      </c>
    </row>
    <row r="1918" spans="1:6" x14ac:dyDescent="0.35">
      <c r="A1918">
        <v>2017</v>
      </c>
      <c r="B1918" t="s">
        <v>60</v>
      </c>
      <c r="C1918" t="s">
        <v>47</v>
      </c>
      <c r="D1918" s="1">
        <v>14001</v>
      </c>
      <c r="E1918" s="1">
        <v>84153</v>
      </c>
      <c r="F1918" s="2">
        <v>29242</v>
      </c>
    </row>
    <row r="1919" spans="1:6" x14ac:dyDescent="0.35">
      <c r="A1919">
        <v>2017</v>
      </c>
      <c r="B1919" t="s">
        <v>60</v>
      </c>
      <c r="C1919" t="s">
        <v>48</v>
      </c>
      <c r="D1919" s="1">
        <v>1656</v>
      </c>
      <c r="E1919" s="1">
        <v>7231</v>
      </c>
      <c r="F1919" s="2">
        <v>35035</v>
      </c>
    </row>
  </sheetData>
  <customSheetViews>
    <customSheetView guid="{948164EF-B902-4A6C-8E3C-A935061C5153}" state="hidden">
      <selection activeCell="F150" sqref="F150"/>
      <pageMargins left="0.7" right="0.7" top="0.75" bottom="0.75" header="0.3" footer="0.3"/>
      <pageSetup orientation="portrait" r:id="rId1"/>
    </customSheetView>
    <customSheetView guid="{A1F01C08-243B-48FC-94A8-F102AEB1706D}">
      <selection activeCell="F150" sqref="F150"/>
      <pageMargins left="0.7" right="0.7" top="0.75" bottom="0.75" header="0.3" footer="0.3"/>
      <pageSetup orientation="portrait" r:id="rId2"/>
    </customSheetView>
  </customSheetView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15FC-3C1B-4153-AA0F-17071069F1B7}">
  <sheetPr codeName="Sheet2"/>
  <dimension ref="A1:U50"/>
  <sheetViews>
    <sheetView zoomScale="50" zoomScaleNormal="50" workbookViewId="0">
      <selection activeCell="T2" sqref="T2"/>
    </sheetView>
  </sheetViews>
  <sheetFormatPr defaultRowHeight="14.5" x14ac:dyDescent="0.35"/>
  <cols>
    <col min="1" max="1" width="20.54296875" bestFit="1" customWidth="1"/>
    <col min="2" max="2" width="24" bestFit="1" customWidth="1"/>
    <col min="4" max="4" width="20.54296875" bestFit="1" customWidth="1"/>
    <col min="5" max="5" width="25.1796875" customWidth="1"/>
    <col min="6" max="6" width="25.1796875" style="11" customWidth="1"/>
    <col min="8" max="8" width="20.08984375" customWidth="1"/>
    <col min="9" max="9" width="17.54296875" customWidth="1"/>
    <col min="11" max="11" width="18.54296875" customWidth="1"/>
    <col min="12" max="12" width="13.6328125" customWidth="1"/>
    <col min="13" max="13" width="14.7265625" customWidth="1"/>
    <col min="14" max="14" width="41.81640625" customWidth="1"/>
    <col min="15" max="15" width="26" customWidth="1"/>
    <col min="16" max="16" width="9.81640625" customWidth="1"/>
    <col min="17" max="17" width="18.81640625" bestFit="1" customWidth="1"/>
    <col min="18" max="18" width="23" customWidth="1"/>
    <col min="19" max="19" width="13.6328125" bestFit="1" customWidth="1"/>
    <col min="20" max="20" width="24" bestFit="1" customWidth="1"/>
  </cols>
  <sheetData>
    <row r="1" spans="1:21" ht="15.5" x14ac:dyDescent="0.35">
      <c r="A1" s="8" t="s">
        <v>64</v>
      </c>
      <c r="B1" s="8"/>
      <c r="D1" s="6" t="s">
        <v>69</v>
      </c>
      <c r="E1" s="7"/>
      <c r="F1" s="7"/>
      <c r="H1" s="6" t="s">
        <v>70</v>
      </c>
      <c r="I1" s="6"/>
      <c r="K1" s="6" t="s">
        <v>72</v>
      </c>
      <c r="L1" s="6"/>
      <c r="M1" s="6"/>
      <c r="O1" s="6" t="s">
        <v>74</v>
      </c>
      <c r="P1" s="6"/>
      <c r="Q1" s="6"/>
      <c r="R1" s="6"/>
      <c r="S1" s="6"/>
      <c r="T1" s="6"/>
    </row>
    <row r="2" spans="1:21" x14ac:dyDescent="0.35">
      <c r="A2" s="3" t="s">
        <v>49</v>
      </c>
      <c r="B2" s="3" t="s">
        <v>66</v>
      </c>
      <c r="D2" s="5" t="s">
        <v>49</v>
      </c>
      <c r="E2" s="5" t="s">
        <v>63</v>
      </c>
      <c r="F2" s="5" t="s">
        <v>66</v>
      </c>
      <c r="H2" s="5" t="s">
        <v>49</v>
      </c>
      <c r="I2" s="5" t="s">
        <v>62</v>
      </c>
      <c r="K2" s="5" t="s">
        <v>50</v>
      </c>
      <c r="L2" s="5" t="s">
        <v>73</v>
      </c>
      <c r="M2" s="5" t="s">
        <v>62</v>
      </c>
      <c r="O2" s="5" t="s">
        <v>0</v>
      </c>
      <c r="P2" s="5" t="s">
        <v>62</v>
      </c>
      <c r="Q2" s="5" t="s">
        <v>75</v>
      </c>
      <c r="R2" s="5" t="s">
        <v>76</v>
      </c>
      <c r="S2" s="5" t="s">
        <v>77</v>
      </c>
      <c r="T2" s="5" t="str">
        <f>B19</f>
        <v>Average Wages</v>
      </c>
    </row>
    <row r="3" spans="1:21" x14ac:dyDescent="0.35">
      <c r="A3" t="s">
        <v>57</v>
      </c>
      <c r="B3" t="str">
        <f>Dashboard!B6</f>
        <v>Finance</v>
      </c>
      <c r="D3" t="s">
        <v>53</v>
      </c>
      <c r="E3" s="2">
        <f>AVERAGEIFS(Data!F:F,Data!B:B,D3,Data!A:A,$B$16)</f>
        <v>93586.333333333328</v>
      </c>
      <c r="F3" s="2">
        <f>IF(D3=$B$3,E3,0)</f>
        <v>0</v>
      </c>
      <c r="H3" t="s">
        <v>54</v>
      </c>
      <c r="I3" s="1">
        <f>SUMIFS(Data!E:E,Data!B:B,H3,Data!A:A,'Data Prep'!$B$16)</f>
        <v>26277342</v>
      </c>
      <c r="K3">
        <v>2017</v>
      </c>
      <c r="L3" s="2">
        <f>AVERAGEIFS(Data!F:F,Data!B:B,$B$3,Data!A:A,K3)</f>
        <v>77330.083333333328</v>
      </c>
      <c r="M3" s="1">
        <f>SUMIFS(Data!E:E,Data!B:B,'Data Prep'!$B$3,Data!A:A,K3)</f>
        <v>8021586</v>
      </c>
      <c r="O3" t="s">
        <v>1</v>
      </c>
      <c r="P3" s="1">
        <f>SUMIFS(Data!E:E,Data!B:B,'Data Prep'!$B$3,Data!A:A,'Data Prep'!$B$16,Data!C:C,'Data Prep'!O3)</f>
        <v>94715</v>
      </c>
      <c r="Q3" s="11">
        <v>4887871</v>
      </c>
      <c r="R3" s="10">
        <f>P3/Q3*1000</f>
        <v>19.377557222766313</v>
      </c>
      <c r="S3" s="2">
        <f>AVERAGEIFS(Data!F:F,Data!B:B,'Data Prep'!$B$3,Data!A:A,'Data Prep'!$B$16,Data!C:C,'Data Prep'!O3)</f>
        <v>75982</v>
      </c>
      <c r="T3" s="12">
        <f>IF($T$2=$S$2,-S3,R3)</f>
        <v>-75982</v>
      </c>
      <c r="U3" s="11"/>
    </row>
    <row r="4" spans="1:21" x14ac:dyDescent="0.35">
      <c r="A4" t="s">
        <v>51</v>
      </c>
      <c r="D4" t="s">
        <v>56</v>
      </c>
      <c r="E4" s="2">
        <f>AVERAGEIFS(Data!F:F,Data!B:B,D4,Data!A:A,$B$16)</f>
        <v>90040.666666666672</v>
      </c>
      <c r="F4" s="2">
        <f t="shared" ref="F4:F12" si="0">IF(D4=$B$3,E4,0)</f>
        <v>90040.666666666672</v>
      </c>
      <c r="H4" t="s">
        <v>58</v>
      </c>
      <c r="I4" s="1">
        <f>SUMIFS(Data!E:E,Data!B:B,H4,Data!A:A,'Data Prep'!$B$16)</f>
        <v>22035033</v>
      </c>
      <c r="K4">
        <v>2018</v>
      </c>
      <c r="L4" s="2">
        <f>AVERAGEIFS(Data!F:F,Data!B:B,$B$3,Data!A:A,K4)</f>
        <v>80167.854166666672</v>
      </c>
      <c r="M4" s="1">
        <f>SUMIFS(Data!E:E,Data!B:B,'Data Prep'!$B$3,Data!A:A,K4)</f>
        <v>8120224</v>
      </c>
      <c r="O4" t="s">
        <v>2</v>
      </c>
      <c r="P4" s="1">
        <f>SUMIFS(Data!E:E,Data!B:B,'Data Prep'!$B$3,Data!A:A,'Data Prep'!$B$16,Data!C:C,'Data Prep'!O4)</f>
        <v>225922</v>
      </c>
      <c r="Q4" s="11">
        <v>7171646</v>
      </c>
      <c r="R4" s="10">
        <f t="shared" ref="R4:R50" si="1">P4/Q4*1000</f>
        <v>31.502112625190925</v>
      </c>
      <c r="S4" s="2">
        <f>AVERAGEIFS(Data!F:F,Data!B:B,'Data Prep'!$B$3,Data!A:A,'Data Prep'!$B$16,Data!C:C,'Data Prep'!O4)</f>
        <v>82956</v>
      </c>
      <c r="T4" s="12">
        <f t="shared" ref="T4:T50" si="2">IF($T$2=$S$2,-S4,R4)</f>
        <v>-82956</v>
      </c>
      <c r="U4" s="11"/>
    </row>
    <row r="5" spans="1:21" x14ac:dyDescent="0.35">
      <c r="A5" t="s">
        <v>58</v>
      </c>
      <c r="D5" t="s">
        <v>57</v>
      </c>
      <c r="E5" s="2">
        <f>AVERAGEIFS(Data!F:F,Data!B:B,D5,Data!A:A,$B$16)</f>
        <v>74713.0625</v>
      </c>
      <c r="F5" s="2">
        <f t="shared" si="0"/>
        <v>0</v>
      </c>
      <c r="H5" t="s">
        <v>57</v>
      </c>
      <c r="I5" s="1">
        <f>SUMIFS(Data!E:E,Data!B:B,H5,Data!A:A,'Data Prep'!$B$16)</f>
        <v>20065896</v>
      </c>
      <c r="K5">
        <v>2019</v>
      </c>
      <c r="L5" s="2">
        <f>AVERAGEIFS(Data!F:F,Data!B:B,$B$3,Data!A:A,K5)</f>
        <v>82837.375</v>
      </c>
      <c r="M5" s="1">
        <f>SUMIFS(Data!E:E,Data!B:B,'Data Prep'!$B$3,Data!A:A,K5)</f>
        <v>8251469</v>
      </c>
      <c r="O5" t="s">
        <v>3</v>
      </c>
      <c r="P5" s="1">
        <f>SUMIFS(Data!E:E,Data!B:B,'Data Prep'!$B$3,Data!A:A,'Data Prep'!$B$16,Data!C:C,'Data Prep'!O5)</f>
        <v>51950</v>
      </c>
      <c r="Q5" s="11">
        <v>3013825</v>
      </c>
      <c r="R5" s="10">
        <f t="shared" si="1"/>
        <v>17.237231756986553</v>
      </c>
      <c r="S5" s="2">
        <f>AVERAGEIFS(Data!F:F,Data!B:B,'Data Prep'!$B$3,Data!A:A,'Data Prep'!$B$16,Data!C:C,'Data Prep'!O5)</f>
        <v>65321</v>
      </c>
      <c r="T5" s="12">
        <f t="shared" si="2"/>
        <v>-65321</v>
      </c>
      <c r="U5" s="11"/>
    </row>
    <row r="6" spans="1:21" x14ac:dyDescent="0.35">
      <c r="A6" t="s">
        <v>56</v>
      </c>
      <c r="D6" t="s">
        <v>52</v>
      </c>
      <c r="E6" s="2">
        <f>AVERAGEIFS(Data!F:F,Data!B:B,D6,Data!A:A,$B$16)</f>
        <v>68427.875</v>
      </c>
      <c r="F6" s="2">
        <f t="shared" si="0"/>
        <v>0</v>
      </c>
      <c r="H6" t="s">
        <v>59</v>
      </c>
      <c r="I6" s="1">
        <f>SUMIFS(Data!E:E,Data!B:B,H6,Data!A:A,'Data Prep'!$B$16)</f>
        <v>12649500</v>
      </c>
      <c r="K6">
        <v>2020</v>
      </c>
      <c r="L6" s="2">
        <f>AVERAGEIFS(Data!F:F,Data!B:B,$B$3,Data!A:A,K6)</f>
        <v>90040.666666666672</v>
      </c>
      <c r="M6" s="1">
        <f>SUMIFS(Data!E:E,Data!B:B,'Data Prep'!$B$3,Data!A:A,K6)</f>
        <v>8142043</v>
      </c>
      <c r="O6" t="s">
        <v>4</v>
      </c>
      <c r="P6" s="1">
        <f>SUMIFS(Data!E:E,Data!B:B,'Data Prep'!$B$3,Data!A:A,'Data Prep'!$B$16,Data!C:C,'Data Prep'!O6)</f>
        <v>817007</v>
      </c>
      <c r="Q6" s="11">
        <v>39557045</v>
      </c>
      <c r="R6" s="10">
        <f t="shared" si="1"/>
        <v>20.653893636392709</v>
      </c>
      <c r="S6" s="2">
        <f>AVERAGEIFS(Data!F:F,Data!B:B,'Data Prep'!$B$3,Data!A:A,'Data Prep'!$B$16,Data!C:C,'Data Prep'!O6)</f>
        <v>124107</v>
      </c>
      <c r="T6" s="12">
        <f t="shared" si="2"/>
        <v>-124107</v>
      </c>
      <c r="U6" s="11"/>
    </row>
    <row r="7" spans="1:21" x14ac:dyDescent="0.35">
      <c r="A7" t="s">
        <v>53</v>
      </c>
      <c r="D7" t="s">
        <v>51</v>
      </c>
      <c r="E7" s="2">
        <f>AVERAGEIFS(Data!F:F,Data!B:B,D7,Data!A:A,$B$16)</f>
        <v>63896.895833333336</v>
      </c>
      <c r="F7" s="2">
        <f t="shared" si="0"/>
        <v>0</v>
      </c>
      <c r="H7" t="s">
        <v>52</v>
      </c>
      <c r="I7" s="1">
        <f>SUMIFS(Data!E:E,Data!B:B,H7,Data!A:A,'Data Prep'!$B$16)</f>
        <v>12058694</v>
      </c>
      <c r="L7" s="1"/>
      <c r="O7" t="s">
        <v>5</v>
      </c>
      <c r="P7" s="1">
        <f>SUMIFS(Data!E:E,Data!B:B,'Data Prep'!$B$3,Data!A:A,'Data Prep'!$B$16,Data!C:C,'Data Prep'!O7)</f>
        <v>165271</v>
      </c>
      <c r="Q7" s="11">
        <v>5695564</v>
      </c>
      <c r="R7" s="10">
        <f t="shared" si="1"/>
        <v>29.017495018930521</v>
      </c>
      <c r="S7" s="2">
        <f>AVERAGEIFS(Data!F:F,Data!B:B,'Data Prep'!$B$3,Data!A:A,'Data Prep'!$B$16,Data!C:C,'Data Prep'!O7)</f>
        <v>97276</v>
      </c>
      <c r="T7" s="12">
        <f t="shared" si="2"/>
        <v>-97276</v>
      </c>
      <c r="U7" s="11"/>
    </row>
    <row r="8" spans="1:21" x14ac:dyDescent="0.35">
      <c r="A8" t="s">
        <v>59</v>
      </c>
      <c r="D8" t="s">
        <v>55</v>
      </c>
      <c r="E8" s="2">
        <f>AVERAGEIFS(Data!F:F,Data!B:B,D8,Data!A:A,$B$16)</f>
        <v>55605.9375</v>
      </c>
      <c r="F8" s="2">
        <f t="shared" si="0"/>
        <v>0</v>
      </c>
      <c r="H8" t="s">
        <v>56</v>
      </c>
      <c r="I8" s="1">
        <f>SUMIFS(Data!E:E,Data!B:B,H8,Data!A:A,'Data Prep'!$B$16)</f>
        <v>8142043</v>
      </c>
      <c r="O8" t="s">
        <v>6</v>
      </c>
      <c r="P8" s="1">
        <f>SUMIFS(Data!E:E,Data!B:B,'Data Prep'!$B$3,Data!A:A,'Data Prep'!$B$16,Data!C:C,'Data Prep'!O8)</f>
        <v>118168</v>
      </c>
      <c r="Q8" s="11">
        <v>3572665</v>
      </c>
      <c r="R8" s="10">
        <f t="shared" si="1"/>
        <v>33.075589231008223</v>
      </c>
      <c r="S8" s="2">
        <f>AVERAGEIFS(Data!F:F,Data!B:B,'Data Prep'!$B$3,Data!A:A,'Data Prep'!$B$16,Data!C:C,'Data Prep'!O8)</f>
        <v>165086</v>
      </c>
      <c r="T8" s="12">
        <f t="shared" si="2"/>
        <v>-165086</v>
      </c>
      <c r="U8" s="11"/>
    </row>
    <row r="9" spans="1:21" x14ac:dyDescent="0.35">
      <c r="A9" t="s">
        <v>52</v>
      </c>
      <c r="D9" t="s">
        <v>58</v>
      </c>
      <c r="E9" s="2">
        <f>AVERAGEIFS(Data!F:F,Data!B:B,D9,Data!A:A,$B$16)</f>
        <v>53607.208333333336</v>
      </c>
      <c r="F9" s="2">
        <f t="shared" si="0"/>
        <v>0</v>
      </c>
      <c r="H9" t="s">
        <v>51</v>
      </c>
      <c r="I9" s="1">
        <f>SUMIFS(Data!E:E,Data!B:B,H9,Data!A:A,'Data Prep'!$B$16)</f>
        <v>7136444</v>
      </c>
      <c r="O9" t="s">
        <v>7</v>
      </c>
      <c r="P9" s="1">
        <f>SUMIFS(Data!E:E,Data!B:B,'Data Prep'!$B$3,Data!A:A,'Data Prep'!$B$16,Data!C:C,'Data Prep'!O9)</f>
        <v>47390</v>
      </c>
      <c r="Q9" s="11">
        <v>967171</v>
      </c>
      <c r="R9" s="10">
        <f t="shared" si="1"/>
        <v>48.99857419215423</v>
      </c>
      <c r="S9" s="2">
        <f>AVERAGEIFS(Data!F:F,Data!B:B,'Data Prep'!$B$3,Data!A:A,'Data Prep'!$B$16,Data!C:C,'Data Prep'!O9)</f>
        <v>103154</v>
      </c>
      <c r="T9" s="12">
        <f t="shared" si="2"/>
        <v>-103154</v>
      </c>
      <c r="U9" s="11"/>
    </row>
    <row r="10" spans="1:21" x14ac:dyDescent="0.35">
      <c r="A10" t="s">
        <v>55</v>
      </c>
      <c r="D10" t="s">
        <v>54</v>
      </c>
      <c r="E10" s="2">
        <f>AVERAGEIFS(Data!F:F,Data!B:B,D10,Data!A:A,$B$16)</f>
        <v>49366.8125</v>
      </c>
      <c r="F10" s="2">
        <f t="shared" si="0"/>
        <v>0</v>
      </c>
      <c r="H10" t="s">
        <v>60</v>
      </c>
      <c r="I10" s="1">
        <f>SUMIFS(Data!E:E,Data!B:B,H10,Data!A:A,'Data Prep'!$B$16)</f>
        <v>3843699</v>
      </c>
      <c r="O10" t="s">
        <v>8</v>
      </c>
      <c r="P10" s="1">
        <f>SUMIFS(Data!E:E,Data!B:B,'Data Prep'!$B$3,Data!A:A,'Data Prep'!$B$16,Data!C:C,'Data Prep'!O10)</f>
        <v>586706</v>
      </c>
      <c r="Q10" s="11">
        <v>21670000</v>
      </c>
      <c r="R10" s="10">
        <f t="shared" si="1"/>
        <v>27.074573142593447</v>
      </c>
      <c r="S10" s="2">
        <f>AVERAGEIFS(Data!F:F,Data!B:B,'Data Prep'!$B$3,Data!A:A,'Data Prep'!$B$16,Data!C:C,'Data Prep'!O10)</f>
        <v>84307</v>
      </c>
      <c r="T10" s="12">
        <f t="shared" si="2"/>
        <v>-84307</v>
      </c>
      <c r="U10" s="11"/>
    </row>
    <row r="11" spans="1:21" x14ac:dyDescent="0.35">
      <c r="A11" t="s">
        <v>60</v>
      </c>
      <c r="D11" t="s">
        <v>60</v>
      </c>
      <c r="E11" s="2">
        <f>AVERAGEIFS(Data!F:F,Data!B:B,D11,Data!A:A,$B$16)</f>
        <v>40790.1875</v>
      </c>
      <c r="F11" s="2">
        <f t="shared" si="0"/>
        <v>0</v>
      </c>
      <c r="H11" t="s">
        <v>53</v>
      </c>
      <c r="I11" s="1">
        <f>SUMIFS(Data!E:E,Data!B:B,H11,Data!A:A,'Data Prep'!$B$16)</f>
        <v>2677815</v>
      </c>
      <c r="O11" t="s">
        <v>9</v>
      </c>
      <c r="P11" s="1">
        <f>SUMIFS(Data!E:E,Data!B:B,'Data Prep'!$B$3,Data!A:A,'Data Prep'!$B$16,Data!C:C,'Data Prep'!O11)</f>
        <v>242175</v>
      </c>
      <c r="Q11" s="11">
        <v>10519475</v>
      </c>
      <c r="R11" s="10">
        <f t="shared" si="1"/>
        <v>23.021586153301374</v>
      </c>
      <c r="S11" s="2">
        <f>AVERAGEIFS(Data!F:F,Data!B:B,'Data Prep'!$B$3,Data!A:A,'Data Prep'!$B$16,Data!C:C,'Data Prep'!O11)</f>
        <v>93145</v>
      </c>
      <c r="T11" s="12">
        <f t="shared" si="2"/>
        <v>-93145</v>
      </c>
      <c r="U11" s="11"/>
    </row>
    <row r="12" spans="1:21" x14ac:dyDescent="0.35">
      <c r="A12" t="s">
        <v>54</v>
      </c>
      <c r="D12" t="s">
        <v>59</v>
      </c>
      <c r="E12" s="2">
        <f>AVERAGEIFS(Data!F:F,Data!B:B,D12,Data!A:A,$B$16)</f>
        <v>23286.416666666668</v>
      </c>
      <c r="F12" s="2">
        <f t="shared" si="0"/>
        <v>0</v>
      </c>
      <c r="H12" t="s">
        <v>55</v>
      </c>
      <c r="I12" s="1">
        <f>SUMIFS(Data!E:E,Data!B:B,H12,Data!A:A,'Data Prep'!$B$16)</f>
        <v>1762873</v>
      </c>
      <c r="O12" t="s">
        <v>10</v>
      </c>
      <c r="P12" s="1">
        <f>SUMIFS(Data!E:E,Data!B:B,'Data Prep'!$B$3,Data!A:A,'Data Prep'!$B$16,Data!C:C,'Data Prep'!O12)</f>
        <v>34249</v>
      </c>
      <c r="Q12" s="11">
        <v>1754208</v>
      </c>
      <c r="R12" s="10">
        <f t="shared" si="1"/>
        <v>19.523910505481677</v>
      </c>
      <c r="S12" s="2">
        <f>AVERAGEIFS(Data!F:F,Data!B:B,'Data Prep'!$B$3,Data!A:A,'Data Prep'!$B$16,Data!C:C,'Data Prep'!O12)</f>
        <v>68833</v>
      </c>
      <c r="T12" s="12">
        <f t="shared" si="2"/>
        <v>-68833</v>
      </c>
      <c r="U12" s="11"/>
    </row>
    <row r="13" spans="1:21" x14ac:dyDescent="0.35">
      <c r="O13" t="s">
        <v>11</v>
      </c>
      <c r="P13" s="1">
        <f>SUMIFS(Data!E:E,Data!B:B,'Data Prep'!$B$3,Data!A:A,'Data Prep'!$B$16,Data!C:C,'Data Prep'!O13)</f>
        <v>376539</v>
      </c>
      <c r="Q13" s="11">
        <v>12741080</v>
      </c>
      <c r="R13" s="10">
        <f t="shared" si="1"/>
        <v>29.553146201106969</v>
      </c>
      <c r="S13" s="2">
        <f>AVERAGEIFS(Data!F:F,Data!B:B,'Data Prep'!$B$3,Data!A:A,'Data Prep'!$B$16,Data!C:C,'Data Prep'!O13)</f>
        <v>121634</v>
      </c>
      <c r="T13" s="12">
        <f t="shared" si="2"/>
        <v>-121634</v>
      </c>
      <c r="U13" s="11"/>
    </row>
    <row r="14" spans="1:21" x14ac:dyDescent="0.35">
      <c r="H14" s="6" t="s">
        <v>70</v>
      </c>
      <c r="I14" s="6"/>
      <c r="O14" t="s">
        <v>12</v>
      </c>
      <c r="P14" s="1">
        <f>SUMIFS(Data!E:E,Data!B:B,'Data Prep'!$B$3,Data!A:A,'Data Prep'!$B$16,Data!C:C,'Data Prep'!O14)</f>
        <v>133449</v>
      </c>
      <c r="Q14" s="11">
        <v>6691878</v>
      </c>
      <c r="R14" s="10">
        <f t="shared" si="1"/>
        <v>19.94193558220876</v>
      </c>
      <c r="S14" s="2">
        <f>AVERAGEIFS(Data!F:F,Data!B:B,'Data Prep'!$B$3,Data!A:A,'Data Prep'!$B$16,Data!C:C,'Data Prep'!O14)</f>
        <v>72283</v>
      </c>
      <c r="T14" s="12">
        <f t="shared" si="2"/>
        <v>-72283</v>
      </c>
      <c r="U14" s="11"/>
    </row>
    <row r="15" spans="1:21" ht="15.5" x14ac:dyDescent="0.35">
      <c r="A15" s="8" t="s">
        <v>67</v>
      </c>
      <c r="B15" s="8"/>
      <c r="H15" s="5" t="s">
        <v>49</v>
      </c>
      <c r="I15" s="5" t="s">
        <v>62</v>
      </c>
      <c r="O15" t="s">
        <v>13</v>
      </c>
      <c r="P15" s="1">
        <f>SUMIFS(Data!E:E,Data!B:B,'Data Prep'!$B$3,Data!A:A,'Data Prep'!$B$16,Data!C:C,'Data Prep'!O15)</f>
        <v>109283</v>
      </c>
      <c r="Q15" s="11">
        <v>3156145</v>
      </c>
      <c r="R15" s="10">
        <f t="shared" si="1"/>
        <v>34.625468728464625</v>
      </c>
      <c r="S15" s="2">
        <f>AVERAGEIFS(Data!F:F,Data!B:B,'Data Prep'!$B$3,Data!A:A,'Data Prep'!$B$16,Data!C:C,'Data Prep'!O15)</f>
        <v>81131</v>
      </c>
      <c r="T15" s="12">
        <f t="shared" si="2"/>
        <v>-81131</v>
      </c>
      <c r="U15" s="11"/>
    </row>
    <row r="16" spans="1:21" x14ac:dyDescent="0.35">
      <c r="A16" s="4" t="s">
        <v>68</v>
      </c>
      <c r="B16" s="9">
        <v>2020</v>
      </c>
      <c r="H16" t="str">
        <f>B3</f>
        <v>Finance</v>
      </c>
      <c r="I16" s="1">
        <f>VLOOKUP(B3,H3:I12,2,0)</f>
        <v>8142043</v>
      </c>
      <c r="O16" t="s">
        <v>14</v>
      </c>
      <c r="P16" s="1">
        <f>SUMIFS(Data!E:E,Data!B:B,'Data Prep'!$B$3,Data!A:A,'Data Prep'!$B$16,Data!C:C,'Data Prep'!O16)</f>
        <v>73310</v>
      </c>
      <c r="Q16" s="11">
        <v>2911505</v>
      </c>
      <c r="R16" s="10">
        <f t="shared" si="1"/>
        <v>25.179417517744259</v>
      </c>
      <c r="S16" s="2">
        <f>AVERAGEIFS(Data!F:F,Data!B:B,'Data Prep'!$B$3,Data!A:A,'Data Prep'!$B$16,Data!C:C,'Data Prep'!O16)</f>
        <v>75889</v>
      </c>
      <c r="T16" s="12">
        <f t="shared" si="2"/>
        <v>-75889</v>
      </c>
      <c r="U16" s="11"/>
    </row>
    <row r="17" spans="1:21" x14ac:dyDescent="0.35">
      <c r="H17" t="s">
        <v>71</v>
      </c>
      <c r="I17" s="1">
        <f>SUM(I3:I12)</f>
        <v>116649339</v>
      </c>
      <c r="O17" t="s">
        <v>15</v>
      </c>
      <c r="P17" s="1">
        <f>SUMIFS(Data!E:E,Data!B:B,'Data Prep'!$B$3,Data!A:A,'Data Prep'!$B$16,Data!C:C,'Data Prep'!O17)</f>
        <v>92079</v>
      </c>
      <c r="Q17" s="11">
        <v>4468402</v>
      </c>
      <c r="R17" s="10">
        <f t="shared" si="1"/>
        <v>20.606695637500835</v>
      </c>
      <c r="S17" s="2">
        <f>AVERAGEIFS(Data!F:F,Data!B:B,'Data Prep'!$B$3,Data!A:A,'Data Prep'!$B$16,Data!C:C,'Data Prep'!O17)</f>
        <v>75177</v>
      </c>
      <c r="T17" s="12">
        <f t="shared" si="2"/>
        <v>-75177</v>
      </c>
      <c r="U17" s="11"/>
    </row>
    <row r="18" spans="1:21" ht="15.5" x14ac:dyDescent="0.35">
      <c r="A18" s="8" t="s">
        <v>78</v>
      </c>
      <c r="B18" s="8"/>
      <c r="O18" t="s">
        <v>16</v>
      </c>
      <c r="P18" s="1">
        <f>SUMIFS(Data!E:E,Data!B:B,'Data Prep'!$B$3,Data!A:A,'Data Prep'!$B$16,Data!C:C,'Data Prep'!O18)</f>
        <v>81149</v>
      </c>
      <c r="Q18" s="11">
        <v>4659978</v>
      </c>
      <c r="R18" s="10">
        <f t="shared" si="1"/>
        <v>17.414030710016227</v>
      </c>
      <c r="S18" s="2">
        <f>AVERAGEIFS(Data!F:F,Data!B:B,'Data Prep'!$B$3,Data!A:A,'Data Prep'!$B$16,Data!C:C,'Data Prep'!O18)</f>
        <v>69409</v>
      </c>
      <c r="T18" s="12">
        <f t="shared" si="2"/>
        <v>-69409</v>
      </c>
      <c r="U18" s="11"/>
    </row>
    <row r="19" spans="1:21" x14ac:dyDescent="0.35">
      <c r="A19" s="4" t="s">
        <v>79</v>
      </c>
      <c r="B19" s="9" t="str">
        <f>IF(Dashboard!$A$2=1,'Data Prep'!S2,'Data Prep'!R2)</f>
        <v>Average Wages</v>
      </c>
      <c r="O19" t="s">
        <v>17</v>
      </c>
      <c r="P19" s="1">
        <f>SUMIFS(Data!E:E,Data!B:B,'Data Prep'!$B$3,Data!A:A,'Data Prep'!$B$16,Data!C:C,'Data Prep'!O19)</f>
        <v>30107</v>
      </c>
      <c r="Q19" s="11">
        <v>1338404</v>
      </c>
      <c r="R19" s="10">
        <f t="shared" si="1"/>
        <v>22.494702645837879</v>
      </c>
      <c r="S19" s="2">
        <f>AVERAGEIFS(Data!F:F,Data!B:B,'Data Prep'!$B$3,Data!A:A,'Data Prep'!$B$16,Data!C:C,'Data Prep'!O19)</f>
        <v>75870</v>
      </c>
      <c r="T19" s="12">
        <f t="shared" si="2"/>
        <v>-75870</v>
      </c>
      <c r="U19" s="11"/>
    </row>
    <row r="20" spans="1:21" ht="15.5" x14ac:dyDescent="0.35">
      <c r="H20" s="14" t="s">
        <v>80</v>
      </c>
      <c r="I20" s="15">
        <f>I16/SUM(I16:I17)</f>
        <v>6.5245234642885841E-2</v>
      </c>
      <c r="O20" t="s">
        <v>18</v>
      </c>
      <c r="P20" s="1">
        <f>SUMIFS(Data!E:E,Data!B:B,'Data Prep'!$B$3,Data!A:A,'Data Prep'!$B$16,Data!C:C,'Data Prep'!O20)</f>
        <v>129771</v>
      </c>
      <c r="Q20" s="11">
        <v>6042718</v>
      </c>
      <c r="R20" s="10">
        <f t="shared" si="1"/>
        <v>21.475600880266132</v>
      </c>
      <c r="S20" s="2">
        <f>AVERAGEIFS(Data!F:F,Data!B:B,'Data Prep'!$B$3,Data!A:A,'Data Prep'!$B$16,Data!C:C,'Data Prep'!O20)</f>
        <v>110159</v>
      </c>
      <c r="T20" s="12">
        <f t="shared" si="2"/>
        <v>-110159</v>
      </c>
      <c r="U20" s="11"/>
    </row>
    <row r="21" spans="1:21" x14ac:dyDescent="0.35">
      <c r="O21" t="s">
        <v>19</v>
      </c>
      <c r="P21" s="1">
        <f>SUMIFS(Data!E:E,Data!B:B,'Data Prep'!$B$3,Data!A:A,'Data Prep'!$B$16,Data!C:C,'Data Prep'!O21)</f>
        <v>212062</v>
      </c>
      <c r="Q21" s="11">
        <v>6902149</v>
      </c>
      <c r="R21" s="10">
        <f t="shared" si="1"/>
        <v>30.724054203987773</v>
      </c>
      <c r="S21" s="2">
        <f>AVERAGEIFS(Data!F:F,Data!B:B,'Data Prep'!$B$3,Data!A:A,'Data Prep'!$B$16,Data!C:C,'Data Prep'!O21)</f>
        <v>159120</v>
      </c>
      <c r="T21" s="12">
        <f t="shared" si="2"/>
        <v>-159120</v>
      </c>
      <c r="U21" s="11"/>
    </row>
    <row r="22" spans="1:21" x14ac:dyDescent="0.35">
      <c r="O22" t="s">
        <v>20</v>
      </c>
      <c r="P22" s="1">
        <f>SUMIFS(Data!E:E,Data!B:B,'Data Prep'!$B$3,Data!A:A,'Data Prep'!$B$16,Data!C:C,'Data Prep'!O22)</f>
        <v>207448</v>
      </c>
      <c r="Q22" s="11">
        <v>9995915</v>
      </c>
      <c r="R22" s="10">
        <f t="shared" si="1"/>
        <v>20.753277713946147</v>
      </c>
      <c r="S22" s="2">
        <f>AVERAGEIFS(Data!F:F,Data!B:B,'Data Prep'!$B$3,Data!A:A,'Data Prep'!$B$16,Data!C:C,'Data Prep'!O22)</f>
        <v>81720</v>
      </c>
      <c r="T22" s="12">
        <f t="shared" si="2"/>
        <v>-81720</v>
      </c>
      <c r="U22" s="11"/>
    </row>
    <row r="23" spans="1:21" x14ac:dyDescent="0.35">
      <c r="O23" t="s">
        <v>21</v>
      </c>
      <c r="P23" s="1">
        <f>SUMIFS(Data!E:E,Data!B:B,'Data Prep'!$B$3,Data!A:A,'Data Prep'!$B$16,Data!C:C,'Data Prep'!O23)</f>
        <v>179728</v>
      </c>
      <c r="Q23" s="11">
        <v>5611179</v>
      </c>
      <c r="R23" s="10">
        <f t="shared" si="1"/>
        <v>32.030345137804375</v>
      </c>
      <c r="S23" s="2">
        <f>AVERAGEIFS(Data!F:F,Data!B:B,'Data Prep'!$B$3,Data!A:A,'Data Prep'!$B$16,Data!C:C,'Data Prep'!O23)</f>
        <v>104989</v>
      </c>
      <c r="T23" s="12">
        <f t="shared" si="2"/>
        <v>-104989</v>
      </c>
      <c r="U23" s="11"/>
    </row>
    <row r="24" spans="1:21" x14ac:dyDescent="0.35">
      <c r="O24" t="s">
        <v>22</v>
      </c>
      <c r="P24" s="1">
        <f>SUMIFS(Data!E:E,Data!B:B,'Data Prep'!$B$3,Data!A:A,'Data Prep'!$B$16,Data!C:C,'Data Prep'!O24)</f>
        <v>41912</v>
      </c>
      <c r="Q24" s="11">
        <v>2963914</v>
      </c>
      <c r="R24" s="10">
        <f t="shared" si="1"/>
        <v>14.140761169183721</v>
      </c>
      <c r="S24" s="2">
        <f>AVERAGEIFS(Data!F:F,Data!B:B,'Data Prep'!$B$3,Data!A:A,'Data Prep'!$B$16,Data!C:C,'Data Prep'!O24)</f>
        <v>59263</v>
      </c>
      <c r="T24" s="12">
        <f t="shared" si="2"/>
        <v>-59263</v>
      </c>
      <c r="U24" s="11"/>
    </row>
    <row r="25" spans="1:21" x14ac:dyDescent="0.35">
      <c r="O25" t="s">
        <v>23</v>
      </c>
      <c r="P25" s="1">
        <f>SUMIFS(Data!E:E,Data!B:B,'Data Prep'!$B$3,Data!A:A,'Data Prep'!$B$16,Data!C:C,'Data Prep'!O25)</f>
        <v>165564</v>
      </c>
      <c r="Q25" s="11">
        <v>6126452</v>
      </c>
      <c r="R25" s="10">
        <f t="shared" si="1"/>
        <v>27.024450693484582</v>
      </c>
      <c r="S25" s="2">
        <f>AVERAGEIFS(Data!F:F,Data!B:B,'Data Prep'!$B$3,Data!A:A,'Data Prep'!$B$16,Data!C:C,'Data Prep'!O25)</f>
        <v>82664</v>
      </c>
      <c r="T25" s="12">
        <f t="shared" si="2"/>
        <v>-82664</v>
      </c>
      <c r="U25" s="11"/>
    </row>
    <row r="26" spans="1:21" x14ac:dyDescent="0.35">
      <c r="O26" t="s">
        <v>24</v>
      </c>
      <c r="P26" s="1">
        <f>SUMIFS(Data!E:E,Data!B:B,'Data Prep'!$B$3,Data!A:A,'Data Prep'!$B$16,Data!C:C,'Data Prep'!O26)</f>
        <v>21986</v>
      </c>
      <c r="Q26" s="11">
        <v>1062305</v>
      </c>
      <c r="R26" s="10">
        <f t="shared" si="1"/>
        <v>20.696504299612634</v>
      </c>
      <c r="S26" s="2">
        <f>AVERAGEIFS(Data!F:F,Data!B:B,'Data Prep'!$B$3,Data!A:A,'Data Prep'!$B$16,Data!C:C,'Data Prep'!O26)</f>
        <v>67330</v>
      </c>
      <c r="T26" s="12">
        <f t="shared" si="2"/>
        <v>-67330</v>
      </c>
      <c r="U26" s="11"/>
    </row>
    <row r="27" spans="1:21" x14ac:dyDescent="0.35">
      <c r="O27" t="s">
        <v>25</v>
      </c>
      <c r="P27" s="1">
        <f>SUMIFS(Data!E:E,Data!B:B,'Data Prep'!$B$3,Data!A:A,'Data Prep'!$B$16,Data!C:C,'Data Prep'!O27)</f>
        <v>66588</v>
      </c>
      <c r="Q27" s="11">
        <v>1929268</v>
      </c>
      <c r="R27" s="10">
        <f t="shared" si="1"/>
        <v>34.5146449326895</v>
      </c>
      <c r="S27" s="2">
        <f>AVERAGEIFS(Data!F:F,Data!B:B,'Data Prep'!$B$3,Data!A:A,'Data Prep'!$B$16,Data!C:C,'Data Prep'!O27)</f>
        <v>74942</v>
      </c>
      <c r="T27" s="12">
        <f t="shared" si="2"/>
        <v>-74942</v>
      </c>
      <c r="U27" s="11"/>
    </row>
    <row r="28" spans="1:21" x14ac:dyDescent="0.35">
      <c r="O28" t="s">
        <v>26</v>
      </c>
      <c r="P28" s="1">
        <f>SUMIFS(Data!E:E,Data!B:B,'Data Prep'!$B$3,Data!A:A,'Data Prep'!$B$16,Data!C:C,'Data Prep'!O28)</f>
        <v>62325</v>
      </c>
      <c r="Q28" s="11">
        <v>3034392</v>
      </c>
      <c r="R28" s="10">
        <f t="shared" si="1"/>
        <v>20.539534773358223</v>
      </c>
      <c r="S28" s="2">
        <f>AVERAGEIFS(Data!F:F,Data!B:B,'Data Prep'!$B$3,Data!A:A,'Data Prep'!$B$16,Data!C:C,'Data Prep'!O28)</f>
        <v>79236</v>
      </c>
      <c r="T28" s="12">
        <f t="shared" si="2"/>
        <v>-79236</v>
      </c>
      <c r="U28" s="11"/>
    </row>
    <row r="29" spans="1:21" x14ac:dyDescent="0.35">
      <c r="O29" t="s">
        <v>27</v>
      </c>
      <c r="P29" s="1">
        <f>SUMIFS(Data!E:E,Data!B:B,'Data Prep'!$B$3,Data!A:A,'Data Prep'!$B$16,Data!C:C,'Data Prep'!O29)</f>
        <v>33027</v>
      </c>
      <c r="Q29" s="11">
        <v>1356458</v>
      </c>
      <c r="R29" s="10">
        <f t="shared" si="1"/>
        <v>24.347970965558829</v>
      </c>
      <c r="S29" s="2">
        <f>AVERAGEIFS(Data!F:F,Data!B:B,'Data Prep'!$B$3,Data!A:A,'Data Prep'!$B$16,Data!C:C,'Data Prep'!O29)</f>
        <v>109751</v>
      </c>
      <c r="T29" s="12">
        <f t="shared" si="2"/>
        <v>-109751</v>
      </c>
      <c r="U29" s="11"/>
    </row>
    <row r="30" spans="1:21" x14ac:dyDescent="0.35">
      <c r="O30" t="s">
        <v>28</v>
      </c>
      <c r="P30" s="1">
        <f>SUMIFS(Data!E:E,Data!B:B,'Data Prep'!$B$3,Data!A:A,'Data Prep'!$B$16,Data!C:C,'Data Prep'!O30)</f>
        <v>235676</v>
      </c>
      <c r="Q30" s="11">
        <v>8908520</v>
      </c>
      <c r="R30" s="10">
        <f t="shared" si="1"/>
        <v>26.455123858957492</v>
      </c>
      <c r="S30" s="2">
        <f>AVERAGEIFS(Data!F:F,Data!B:B,'Data Prep'!$B$3,Data!A:A,'Data Prep'!$B$16,Data!C:C,'Data Prep'!O30)</f>
        <v>127870</v>
      </c>
      <c r="T30" s="12">
        <f t="shared" si="2"/>
        <v>-127870</v>
      </c>
      <c r="U30" s="11"/>
    </row>
    <row r="31" spans="1:21" x14ac:dyDescent="0.35">
      <c r="O31" t="s">
        <v>29</v>
      </c>
      <c r="P31" s="1">
        <f>SUMIFS(Data!E:E,Data!B:B,'Data Prep'!$B$3,Data!A:A,'Data Prep'!$B$16,Data!C:C,'Data Prep'!O31)</f>
        <v>32608</v>
      </c>
      <c r="Q31" s="11">
        <v>2095428</v>
      </c>
      <c r="R31" s="10">
        <f t="shared" si="1"/>
        <v>15.561498653258429</v>
      </c>
      <c r="S31" s="2">
        <f>AVERAGEIFS(Data!F:F,Data!B:B,'Data Prep'!$B$3,Data!A:A,'Data Prep'!$B$16,Data!C:C,'Data Prep'!O31)</f>
        <v>62343</v>
      </c>
      <c r="T31" s="12">
        <f t="shared" si="2"/>
        <v>-62343</v>
      </c>
      <c r="U31" s="11"/>
    </row>
    <row r="32" spans="1:21" x14ac:dyDescent="0.35">
      <c r="O32" t="s">
        <v>30</v>
      </c>
      <c r="P32" s="1">
        <f>SUMIFS(Data!E:E,Data!B:B,'Data Prep'!$B$3,Data!A:A,'Data Prep'!$B$16,Data!C:C,'Data Prep'!O32)</f>
        <v>700031</v>
      </c>
      <c r="Q32" s="11">
        <v>19542209</v>
      </c>
      <c r="R32" s="10">
        <f t="shared" si="1"/>
        <v>35.821487734574944</v>
      </c>
      <c r="S32" s="2">
        <f>AVERAGEIFS(Data!F:F,Data!B:B,'Data Prep'!$B$3,Data!A:A,'Data Prep'!$B$16,Data!C:C,'Data Prep'!O32)</f>
        <v>207014</v>
      </c>
      <c r="T32" s="12">
        <f t="shared" si="2"/>
        <v>-207014</v>
      </c>
      <c r="U32" s="11"/>
    </row>
    <row r="33" spans="15:21" x14ac:dyDescent="0.35">
      <c r="O33" t="s">
        <v>31</v>
      </c>
      <c r="P33" s="1">
        <f>SUMIFS(Data!E:E,Data!B:B,'Data Prep'!$B$3,Data!A:A,'Data Prep'!$B$16,Data!C:C,'Data Prep'!O33)</f>
        <v>251672</v>
      </c>
      <c r="Q33" s="11">
        <v>10383620</v>
      </c>
      <c r="R33" s="10">
        <f t="shared" si="1"/>
        <v>24.237404681604293</v>
      </c>
      <c r="S33" s="2">
        <f>AVERAGEIFS(Data!F:F,Data!B:B,'Data Prep'!$B$3,Data!A:A,'Data Prep'!$B$16,Data!C:C,'Data Prep'!O33)</f>
        <v>97234</v>
      </c>
      <c r="T33" s="12">
        <f t="shared" si="2"/>
        <v>-97234</v>
      </c>
      <c r="U33" s="11"/>
    </row>
    <row r="34" spans="15:21" x14ac:dyDescent="0.35">
      <c r="O34" t="s">
        <v>32</v>
      </c>
      <c r="P34" s="1">
        <f>SUMIFS(Data!E:E,Data!B:B,'Data Prep'!$B$3,Data!A:A,'Data Prep'!$B$16,Data!C:C,'Data Prep'!O34)</f>
        <v>22496</v>
      </c>
      <c r="Q34" s="11">
        <v>760077</v>
      </c>
      <c r="R34" s="10">
        <f t="shared" si="1"/>
        <v>29.59700135644152</v>
      </c>
      <c r="S34" s="2">
        <f>AVERAGEIFS(Data!F:F,Data!B:B,'Data Prep'!$B$3,Data!A:A,'Data Prep'!$B$16,Data!C:C,'Data Prep'!O34)</f>
        <v>69243</v>
      </c>
      <c r="T34" s="12">
        <f t="shared" si="2"/>
        <v>-69243</v>
      </c>
      <c r="U34" s="11"/>
    </row>
    <row r="35" spans="15:21" x14ac:dyDescent="0.35">
      <c r="O35" t="s">
        <v>33</v>
      </c>
      <c r="P35" s="1">
        <f>SUMIFS(Data!E:E,Data!B:B,'Data Prep'!$B$3,Data!A:A,'Data Prep'!$B$16,Data!C:C,'Data Prep'!O35)</f>
        <v>287990</v>
      </c>
      <c r="Q35" s="11">
        <v>11689442</v>
      </c>
      <c r="R35" s="10">
        <f t="shared" si="1"/>
        <v>24.636761960066185</v>
      </c>
      <c r="S35" s="2">
        <f>AVERAGEIFS(Data!F:F,Data!B:B,'Data Prep'!$B$3,Data!A:A,'Data Prep'!$B$16,Data!C:C,'Data Prep'!O35)</f>
        <v>82336</v>
      </c>
      <c r="T35" s="12">
        <f t="shared" si="2"/>
        <v>-82336</v>
      </c>
      <c r="U35" s="11"/>
    </row>
    <row r="36" spans="15:21" x14ac:dyDescent="0.35">
      <c r="O36" t="s">
        <v>34</v>
      </c>
      <c r="P36" s="1">
        <f>SUMIFS(Data!E:E,Data!B:B,'Data Prep'!$B$3,Data!A:A,'Data Prep'!$B$16,Data!C:C,'Data Prep'!O36)</f>
        <v>74614</v>
      </c>
      <c r="Q36" s="11">
        <v>3943079</v>
      </c>
      <c r="R36" s="10">
        <f t="shared" si="1"/>
        <v>18.922775830765755</v>
      </c>
      <c r="S36" s="2">
        <f>AVERAGEIFS(Data!F:F,Data!B:B,'Data Prep'!$B$3,Data!A:A,'Data Prep'!$B$16,Data!C:C,'Data Prep'!O36)</f>
        <v>64030</v>
      </c>
      <c r="T36" s="12">
        <f t="shared" si="2"/>
        <v>-64030</v>
      </c>
      <c r="U36" s="11"/>
    </row>
    <row r="37" spans="15:21" x14ac:dyDescent="0.35">
      <c r="O37" t="s">
        <v>35</v>
      </c>
      <c r="P37" s="1">
        <f>SUMIFS(Data!E:E,Data!B:B,'Data Prep'!$B$3,Data!A:A,'Data Prep'!$B$16,Data!C:C,'Data Prep'!O37)</f>
        <v>83937</v>
      </c>
      <c r="Q37" s="11">
        <v>4190713</v>
      </c>
      <c r="R37" s="10">
        <f t="shared" si="1"/>
        <v>20.029288572135577</v>
      </c>
      <c r="S37" s="2">
        <f>AVERAGEIFS(Data!F:F,Data!B:B,'Data Prep'!$B$3,Data!A:A,'Data Prep'!$B$16,Data!C:C,'Data Prep'!O37)</f>
        <v>80727</v>
      </c>
      <c r="T37" s="12">
        <f t="shared" si="2"/>
        <v>-80727</v>
      </c>
      <c r="U37" s="11"/>
    </row>
    <row r="38" spans="15:21" x14ac:dyDescent="0.35">
      <c r="O38" t="s">
        <v>36</v>
      </c>
      <c r="P38" s="1">
        <f>SUMIFS(Data!E:E,Data!B:B,'Data Prep'!$B$3,Data!A:A,'Data Prep'!$B$16,Data!C:C,'Data Prep'!O38)</f>
        <v>325571</v>
      </c>
      <c r="Q38" s="11">
        <v>12807060</v>
      </c>
      <c r="R38" s="10">
        <f t="shared" si="1"/>
        <v>25.421212987211742</v>
      </c>
      <c r="S38" s="2">
        <f>AVERAGEIFS(Data!F:F,Data!B:B,'Data Prep'!$B$3,Data!A:A,'Data Prep'!$B$16,Data!C:C,'Data Prep'!O38)</f>
        <v>97231</v>
      </c>
      <c r="T38" s="12">
        <f t="shared" si="2"/>
        <v>-97231</v>
      </c>
      <c r="U38" s="11"/>
    </row>
    <row r="39" spans="15:21" x14ac:dyDescent="0.35">
      <c r="O39" t="s">
        <v>37</v>
      </c>
      <c r="P39" s="1">
        <f>SUMIFS(Data!E:E,Data!B:B,'Data Prep'!$B$3,Data!A:A,'Data Prep'!$B$16,Data!C:C,'Data Prep'!O39)</f>
        <v>31304</v>
      </c>
      <c r="Q39" s="11">
        <v>1057315</v>
      </c>
      <c r="R39" s="10">
        <f t="shared" si="1"/>
        <v>29.607070740507798</v>
      </c>
      <c r="S39" s="2">
        <f>AVERAGEIFS(Data!F:F,Data!B:B,'Data Prep'!$B$3,Data!A:A,'Data Prep'!$B$16,Data!C:C,'Data Prep'!O39)</f>
        <v>100316</v>
      </c>
      <c r="T39" s="12">
        <f t="shared" si="2"/>
        <v>-100316</v>
      </c>
      <c r="U39" s="11"/>
    </row>
    <row r="40" spans="15:21" x14ac:dyDescent="0.35">
      <c r="O40" t="s">
        <v>38</v>
      </c>
      <c r="P40" s="1">
        <f>SUMIFS(Data!E:E,Data!B:B,'Data Prep'!$B$3,Data!A:A,'Data Prep'!$B$16,Data!C:C,'Data Prep'!O40)</f>
        <v>101637</v>
      </c>
      <c r="Q40" s="11">
        <v>5084127</v>
      </c>
      <c r="R40" s="10">
        <f t="shared" si="1"/>
        <v>19.991042709987379</v>
      </c>
      <c r="S40" s="2">
        <f>AVERAGEIFS(Data!F:F,Data!B:B,'Data Prep'!$B$3,Data!A:A,'Data Prep'!$B$16,Data!C:C,'Data Prep'!O40)</f>
        <v>71361</v>
      </c>
      <c r="T40" s="12">
        <f t="shared" si="2"/>
        <v>-71361</v>
      </c>
      <c r="U40" s="11"/>
    </row>
    <row r="41" spans="15:21" x14ac:dyDescent="0.35">
      <c r="O41" t="s">
        <v>39</v>
      </c>
      <c r="P41" s="1">
        <f>SUMIFS(Data!E:E,Data!B:B,'Data Prep'!$B$3,Data!A:A,'Data Prep'!$B$16,Data!C:C,'Data Prep'!O41)</f>
        <v>27809</v>
      </c>
      <c r="Q41" s="11">
        <v>882235</v>
      </c>
      <c r="R41" s="10">
        <f t="shared" si="1"/>
        <v>31.521079984357907</v>
      </c>
      <c r="S41" s="2">
        <f>AVERAGEIFS(Data!F:F,Data!B:B,'Data Prep'!$B$3,Data!A:A,'Data Prep'!$B$16,Data!C:C,'Data Prep'!O41)</f>
        <v>69345</v>
      </c>
      <c r="T41" s="12">
        <f t="shared" si="2"/>
        <v>-69345</v>
      </c>
      <c r="U41" s="11"/>
    </row>
    <row r="42" spans="15:21" x14ac:dyDescent="0.35">
      <c r="O42" t="s">
        <v>40</v>
      </c>
      <c r="P42" s="1">
        <f>SUMIFS(Data!E:E,Data!B:B,'Data Prep'!$B$3,Data!A:A,'Data Prep'!$B$16,Data!C:C,'Data Prep'!O42)</f>
        <v>155926</v>
      </c>
      <c r="Q42" s="11">
        <v>6770010</v>
      </c>
      <c r="R42" s="10">
        <f t="shared" si="1"/>
        <v>23.031871444798458</v>
      </c>
      <c r="S42" s="2">
        <f>AVERAGEIFS(Data!F:F,Data!B:B,'Data Prep'!$B$3,Data!A:A,'Data Prep'!$B$16,Data!C:C,'Data Prep'!O42)</f>
        <v>85116</v>
      </c>
      <c r="T42" s="12">
        <f t="shared" si="2"/>
        <v>-85116</v>
      </c>
      <c r="U42" s="11"/>
    </row>
    <row r="43" spans="15:21" x14ac:dyDescent="0.35">
      <c r="O43" t="s">
        <v>41</v>
      </c>
      <c r="P43" s="1">
        <f>SUMIFS(Data!E:E,Data!B:B,'Data Prep'!$B$3,Data!A:A,'Data Prep'!$B$16,Data!C:C,'Data Prep'!O43)</f>
        <v>778554</v>
      </c>
      <c r="Q43" s="11">
        <v>28701845</v>
      </c>
      <c r="R43" s="10">
        <f t="shared" si="1"/>
        <v>27.125573286316612</v>
      </c>
      <c r="S43" s="2">
        <f>AVERAGEIFS(Data!F:F,Data!B:B,'Data Prep'!$B$3,Data!A:A,'Data Prep'!$B$16,Data!C:C,'Data Prep'!O43)</f>
        <v>92477</v>
      </c>
      <c r="T43" s="12">
        <f t="shared" si="2"/>
        <v>-92477</v>
      </c>
      <c r="U43" s="11"/>
    </row>
    <row r="44" spans="15:21" x14ac:dyDescent="0.35">
      <c r="O44" t="s">
        <v>42</v>
      </c>
      <c r="P44" s="1">
        <f>SUMIFS(Data!E:E,Data!B:B,'Data Prep'!$B$3,Data!A:A,'Data Prep'!$B$16,Data!C:C,'Data Prep'!O44)</f>
        <v>93379</v>
      </c>
      <c r="Q44" s="11">
        <v>3161105</v>
      </c>
      <c r="R44" s="10">
        <f t="shared" si="1"/>
        <v>29.539986808410351</v>
      </c>
      <c r="S44" s="2">
        <f>AVERAGEIFS(Data!F:F,Data!B:B,'Data Prep'!$B$3,Data!A:A,'Data Prep'!$B$16,Data!C:C,'Data Prep'!O44)</f>
        <v>79806</v>
      </c>
      <c r="T44" s="12">
        <f t="shared" si="2"/>
        <v>-79806</v>
      </c>
      <c r="U44" s="11"/>
    </row>
    <row r="45" spans="15:21" x14ac:dyDescent="0.35">
      <c r="O45" t="s">
        <v>43</v>
      </c>
      <c r="P45" s="1">
        <f>SUMIFS(Data!E:E,Data!B:B,'Data Prep'!$B$3,Data!A:A,'Data Prep'!$B$16,Data!C:C,'Data Prep'!O45)</f>
        <v>11578</v>
      </c>
      <c r="Q45" s="11">
        <v>626299</v>
      </c>
      <c r="R45" s="10">
        <f t="shared" si="1"/>
        <v>18.486377912147393</v>
      </c>
      <c r="S45" s="2">
        <f>AVERAGEIFS(Data!F:F,Data!B:B,'Data Prep'!$B$3,Data!A:A,'Data Prep'!$B$16,Data!C:C,'Data Prep'!O45)</f>
        <v>80135</v>
      </c>
      <c r="T45" s="12">
        <f t="shared" si="2"/>
        <v>-80135</v>
      </c>
      <c r="U45" s="11"/>
    </row>
    <row r="46" spans="15:21" x14ac:dyDescent="0.35">
      <c r="O46" t="s">
        <v>44</v>
      </c>
      <c r="P46" s="1">
        <f>SUMIFS(Data!E:E,Data!B:B,'Data Prep'!$B$3,Data!A:A,'Data Prep'!$B$16,Data!C:C,'Data Prep'!O46)</f>
        <v>195671</v>
      </c>
      <c r="Q46" s="11">
        <v>8517685</v>
      </c>
      <c r="R46" s="10">
        <f t="shared" si="1"/>
        <v>22.972321704782463</v>
      </c>
      <c r="S46" s="2">
        <f>AVERAGEIFS(Data!F:F,Data!B:B,'Data Prep'!$B$3,Data!A:A,'Data Prep'!$B$16,Data!C:C,'Data Prep'!O46)</f>
        <v>97246</v>
      </c>
      <c r="T46" s="12">
        <f t="shared" si="2"/>
        <v>-97246</v>
      </c>
      <c r="U46" s="11"/>
    </row>
    <row r="47" spans="15:21" x14ac:dyDescent="0.35">
      <c r="O47" t="s">
        <v>45</v>
      </c>
      <c r="P47" s="1">
        <f>SUMIFS(Data!E:E,Data!B:B,'Data Prep'!$B$3,Data!A:A,'Data Prep'!$B$16,Data!C:C,'Data Prep'!O47)</f>
        <v>147772</v>
      </c>
      <c r="Q47" s="11">
        <v>7614893</v>
      </c>
      <c r="R47" s="10">
        <f t="shared" si="1"/>
        <v>19.405656783358612</v>
      </c>
      <c r="S47" s="2">
        <f>AVERAGEIFS(Data!F:F,Data!B:B,'Data Prep'!$B$3,Data!A:A,'Data Prep'!$B$16,Data!C:C,'Data Prep'!O47)</f>
        <v>95674</v>
      </c>
      <c r="T47" s="12">
        <f t="shared" si="2"/>
        <v>-95674</v>
      </c>
      <c r="U47" s="11"/>
    </row>
    <row r="48" spans="15:21" x14ac:dyDescent="0.35">
      <c r="O48" t="s">
        <v>46</v>
      </c>
      <c r="P48" s="1">
        <f>SUMIFS(Data!E:E,Data!B:B,'Data Prep'!$B$3,Data!A:A,'Data Prep'!$B$16,Data!C:C,'Data Prep'!O48)</f>
        <v>24190</v>
      </c>
      <c r="Q48" s="11">
        <v>1805832</v>
      </c>
      <c r="R48" s="10">
        <f t="shared" si="1"/>
        <v>13.395487509358567</v>
      </c>
      <c r="S48" s="2">
        <f>AVERAGEIFS(Data!F:F,Data!B:B,'Data Prep'!$B$3,Data!A:A,'Data Prep'!$B$16,Data!C:C,'Data Prep'!O48)</f>
        <v>56764</v>
      </c>
      <c r="T48" s="12">
        <f t="shared" si="2"/>
        <v>-56764</v>
      </c>
      <c r="U48" s="11"/>
    </row>
    <row r="49" spans="15:21" x14ac:dyDescent="0.35">
      <c r="O49" t="s">
        <v>47</v>
      </c>
      <c r="P49" s="1">
        <f>SUMIFS(Data!E:E,Data!B:B,'Data Prep'!$B$3,Data!A:A,'Data Prep'!$B$16,Data!C:C,'Data Prep'!O49)</f>
        <v>148829</v>
      </c>
      <c r="Q49" s="11">
        <v>5813568</v>
      </c>
      <c r="R49" s="10">
        <f t="shared" si="1"/>
        <v>25.600285401323248</v>
      </c>
      <c r="S49" s="2">
        <f>AVERAGEIFS(Data!F:F,Data!B:B,'Data Prep'!$B$3,Data!A:A,'Data Prep'!$B$16,Data!C:C,'Data Prep'!O49)</f>
        <v>80470</v>
      </c>
      <c r="T49" s="12">
        <f t="shared" si="2"/>
        <v>-80470</v>
      </c>
      <c r="U49" s="11"/>
    </row>
    <row r="50" spans="15:21" x14ac:dyDescent="0.35">
      <c r="O50" t="s">
        <v>48</v>
      </c>
      <c r="P50" s="1">
        <f>SUMIFS(Data!E:E,Data!B:B,'Data Prep'!$B$3,Data!A:A,'Data Prep'!$B$16,Data!C:C,'Data Prep'!O50)</f>
        <v>10919</v>
      </c>
      <c r="Q50" s="11">
        <v>577737</v>
      </c>
      <c r="R50" s="10">
        <f t="shared" si="1"/>
        <v>18.89960310660387</v>
      </c>
      <c r="S50" s="2">
        <f>AVERAGEIFS(Data!F:F,Data!B:B,'Data Prep'!$B$3,Data!A:A,'Data Prep'!$B$16,Data!C:C,'Data Prep'!O50)</f>
        <v>64480</v>
      </c>
      <c r="T50" s="12">
        <f t="shared" si="2"/>
        <v>-64480</v>
      </c>
      <c r="U50" s="11"/>
    </row>
  </sheetData>
  <autoFilter ref="A2:A12" xr:uid="{316C15FC-3C1B-4153-AA0F-17071069F1B7}">
    <sortState xmlns:xlrd2="http://schemas.microsoft.com/office/spreadsheetml/2017/richdata2" ref="A3:A12">
      <sortCondition ref="A2:A12"/>
    </sortState>
  </autoFilter>
  <sortState xmlns:xlrd2="http://schemas.microsoft.com/office/spreadsheetml/2017/richdata2" ref="H2:I12">
    <sortCondition descending="1" ref="I2:I1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0178B-30F0-4E01-AA19-D28A34BCA641}">
  <sheetPr codeName="Sheet3"/>
  <dimension ref="A1:L35"/>
  <sheetViews>
    <sheetView showGridLines="0" tabSelected="1" zoomScale="83" zoomScaleNormal="83" workbookViewId="0">
      <selection activeCell="D6" sqref="D6"/>
    </sheetView>
  </sheetViews>
  <sheetFormatPr defaultColWidth="0" defaultRowHeight="14.5" zeroHeight="1" x14ac:dyDescent="0.35"/>
  <cols>
    <col min="1" max="1" width="8.7265625" customWidth="1"/>
    <col min="2" max="2" width="43.54296875" customWidth="1"/>
    <col min="3" max="3" width="8.7265625" customWidth="1"/>
    <col min="4" max="4" width="52.7265625" bestFit="1" customWidth="1"/>
    <col min="5" max="8" width="8.7265625" customWidth="1"/>
    <col min="9" max="9" width="29.54296875" bestFit="1" customWidth="1"/>
    <col min="10" max="10" width="8.7265625" customWidth="1"/>
    <col min="11" max="11" width="15.90625" customWidth="1"/>
    <col min="12" max="12" width="4.90625" hidden="1"/>
    <col min="13" max="16384" width="8.7265625" hidden="1"/>
  </cols>
  <sheetData>
    <row r="1" spans="1:10" x14ac:dyDescent="0.35">
      <c r="A1" s="16">
        <v>9</v>
      </c>
    </row>
    <row r="2" spans="1:10" x14ac:dyDescent="0.35">
      <c r="A2" s="16">
        <v>1</v>
      </c>
    </row>
    <row r="3" spans="1:10" x14ac:dyDescent="0.35"/>
    <row r="4" spans="1:10" x14ac:dyDescent="0.35"/>
    <row r="5" spans="1:10" x14ac:dyDescent="0.35"/>
    <row r="6" spans="1:10" ht="31" x14ac:dyDescent="0.35">
      <c r="B6" s="13" t="str" cm="1">
        <f t="array" ref="B6">INDEX('Data Prep'!D3:D12,11-Dashboard!A1)</f>
        <v>Finance</v>
      </c>
    </row>
    <row r="7" spans="1:10" x14ac:dyDescent="0.35"/>
    <row r="8" spans="1:10" x14ac:dyDescent="0.35"/>
    <row r="9" spans="1:10" x14ac:dyDescent="0.35"/>
    <row r="10" spans="1:10" x14ac:dyDescent="0.35">
      <c r="H10" s="11"/>
      <c r="I10" s="11"/>
      <c r="J10" s="11"/>
    </row>
    <row r="11" spans="1:10" x14ac:dyDescent="0.35"/>
    <row r="12" spans="1:10" x14ac:dyDescent="0.35"/>
    <row r="13" spans="1:10" x14ac:dyDescent="0.35"/>
    <row r="14" spans="1:10" x14ac:dyDescent="0.35"/>
    <row r="15" spans="1:10" x14ac:dyDescent="0.35"/>
    <row r="16" spans="1:10" x14ac:dyDescent="0.35"/>
    <row r="17" spans="4:4" x14ac:dyDescent="0.35"/>
    <row r="18" spans="4:4" x14ac:dyDescent="0.35"/>
    <row r="19" spans="4:4" x14ac:dyDescent="0.35"/>
    <row r="20" spans="4:4" x14ac:dyDescent="0.35"/>
    <row r="21" spans="4:4" x14ac:dyDescent="0.35"/>
    <row r="22" spans="4:4" x14ac:dyDescent="0.35"/>
    <row r="23" spans="4:4" x14ac:dyDescent="0.35"/>
    <row r="24" spans="4:4" x14ac:dyDescent="0.35"/>
    <row r="25" spans="4:4" x14ac:dyDescent="0.35"/>
    <row r="26" spans="4:4" x14ac:dyDescent="0.35">
      <c r="D26" t="s">
        <v>65</v>
      </c>
    </row>
    <row r="27" spans="4:4" x14ac:dyDescent="0.35"/>
    <row r="28" spans="4:4" x14ac:dyDescent="0.35"/>
    <row r="29" spans="4:4" x14ac:dyDescent="0.35"/>
    <row r="30" spans="4:4" x14ac:dyDescent="0.35"/>
    <row r="31" spans="4:4" x14ac:dyDescent="0.35"/>
    <row r="32" spans="4:4" x14ac:dyDescent="0.35"/>
    <row r="33" x14ac:dyDescent="0.35"/>
    <row r="34" x14ac:dyDescent="0.35"/>
    <row r="35" x14ac:dyDescent="0.35"/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8" r:id="rId4" name="Spinner 16">
              <controlPr defaultSize="0" autoPict="0">
                <anchor moveWithCells="1" sizeWithCells="1">
                  <from>
                    <xdr:col>1</xdr:col>
                    <xdr:colOff>3035300</xdr:colOff>
                    <xdr:row>5</xdr:row>
                    <xdr:rowOff>12700</xdr:rowOff>
                  </from>
                  <to>
                    <xdr:col>2</xdr:col>
                    <xdr:colOff>577850</xdr:colOff>
                    <xdr:row>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5" name="Option Button 19">
              <controlPr defaultSize="0" autoFill="0" autoLine="0" autoPict="0" macro="[0]!OptionButton19_Click">
                <anchor moveWithCells="1">
                  <from>
                    <xdr:col>5</xdr:col>
                    <xdr:colOff>127000</xdr:colOff>
                    <xdr:row>7</xdr:row>
                    <xdr:rowOff>114300</xdr:rowOff>
                  </from>
                  <to>
                    <xdr:col>7</xdr:col>
                    <xdr:colOff>527050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6" name="Option Button 20">
              <controlPr defaultSize="0" autoFill="0" autoLine="0" autoPict="0" macro="[0]!OptionButton20_Click">
                <anchor moveWithCells="1">
                  <from>
                    <xdr:col>8</xdr:col>
                    <xdr:colOff>952500</xdr:colOff>
                    <xdr:row>7</xdr:row>
                    <xdr:rowOff>114300</xdr:rowOff>
                  </from>
                  <to>
                    <xdr:col>10</xdr:col>
                    <xdr:colOff>146050</xdr:colOff>
                    <xdr:row>10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CCB4B-7AD3-44EB-9AF4-47338B943D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Data Prep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Bushra Nazeer Khan</cp:lastModifiedBy>
  <dcterms:created xsi:type="dcterms:W3CDTF">2021-09-21T20:47:02Z</dcterms:created>
  <dcterms:modified xsi:type="dcterms:W3CDTF">2026-04-06T15:01:12Z</dcterms:modified>
</cp:coreProperties>
</file>